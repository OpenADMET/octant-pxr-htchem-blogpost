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calvinhawe_1/Library/Mobile Documents/com~apple~CloudDocs/RAW DATA FOR BLOG POST/"/>
    </mc:Choice>
  </mc:AlternateContent>
  <xr:revisionPtr revIDLastSave="0" documentId="13_ncr:1_{38085F3D-4B35-8040-ADBD-D160ECDB560A}" xr6:coauthVersionLast="47" xr6:coauthVersionMax="47" xr10:uidLastSave="{00000000-0000-0000-0000-000000000000}"/>
  <bookViews>
    <workbookView xWindow="2160" yWindow="-19680" windowWidth="29400" windowHeight="18460" xr2:uid="{00000000-000D-0000-FFFF-FFFF00000000}"/>
  </bookViews>
  <sheets>
    <sheet name="Crude-SP to Pure Correlation" sheetId="1" r:id="rId1"/>
    <sheet name="HTChem Libraries" sheetId="2" r:id="rId2"/>
    <sheet name="96-Compound µScale Semi-Pure" sheetId="3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7" i="3" l="1"/>
  <c r="T97" i="3"/>
  <c r="U97" i="3" s="1"/>
  <c r="N97" i="3"/>
  <c r="O97" i="3" s="1"/>
  <c r="P97" i="3" s="1"/>
  <c r="Q97" i="3" s="1"/>
  <c r="R97" i="3" s="1"/>
  <c r="G97" i="3"/>
  <c r="X96" i="3"/>
  <c r="T96" i="3"/>
  <c r="U96" i="3" s="1"/>
  <c r="V96" i="3" s="1"/>
  <c r="N96" i="3"/>
  <c r="O96" i="3" s="1"/>
  <c r="P96" i="3" s="1"/>
  <c r="Q96" i="3" s="1"/>
  <c r="R96" i="3" s="1"/>
  <c r="G96" i="3"/>
  <c r="X95" i="3"/>
  <c r="T95" i="3"/>
  <c r="N95" i="3"/>
  <c r="O95" i="3" s="1"/>
  <c r="P95" i="3" s="1"/>
  <c r="Q95" i="3" s="1"/>
  <c r="R95" i="3" s="1"/>
  <c r="G95" i="3"/>
  <c r="X94" i="3"/>
  <c r="T94" i="3"/>
  <c r="U94" i="3" s="1"/>
  <c r="N94" i="3"/>
  <c r="O94" i="3" s="1"/>
  <c r="P94" i="3" s="1"/>
  <c r="Q94" i="3" s="1"/>
  <c r="R94" i="3" s="1"/>
  <c r="G94" i="3"/>
  <c r="X93" i="3"/>
  <c r="T93" i="3"/>
  <c r="N93" i="3"/>
  <c r="O93" i="3" s="1"/>
  <c r="P93" i="3" s="1"/>
  <c r="Q93" i="3" s="1"/>
  <c r="R93" i="3" s="1"/>
  <c r="G93" i="3"/>
  <c r="X92" i="3"/>
  <c r="T92" i="3"/>
  <c r="U92" i="3" s="1"/>
  <c r="V92" i="3" s="1"/>
  <c r="N92" i="3"/>
  <c r="O92" i="3" s="1"/>
  <c r="P92" i="3" s="1"/>
  <c r="Q92" i="3" s="1"/>
  <c r="R92" i="3" s="1"/>
  <c r="G92" i="3"/>
  <c r="X91" i="3"/>
  <c r="T91" i="3"/>
  <c r="N91" i="3"/>
  <c r="O91" i="3" s="1"/>
  <c r="P91" i="3" s="1"/>
  <c r="Q91" i="3" s="1"/>
  <c r="R91" i="3" s="1"/>
  <c r="G91" i="3"/>
  <c r="X90" i="3"/>
  <c r="T90" i="3"/>
  <c r="U90" i="3" s="1"/>
  <c r="V90" i="3" s="1"/>
  <c r="N90" i="3"/>
  <c r="O90" i="3" s="1"/>
  <c r="P90" i="3" s="1"/>
  <c r="Q90" i="3" s="1"/>
  <c r="R90" i="3" s="1"/>
  <c r="G90" i="3"/>
  <c r="X89" i="3"/>
  <c r="T89" i="3"/>
  <c r="U89" i="3" s="1"/>
  <c r="N89" i="3"/>
  <c r="O89" i="3" s="1"/>
  <c r="P89" i="3" s="1"/>
  <c r="Q89" i="3" s="1"/>
  <c r="R89" i="3" s="1"/>
  <c r="G89" i="3"/>
  <c r="X88" i="3"/>
  <c r="T88" i="3"/>
  <c r="U88" i="3" s="1"/>
  <c r="V88" i="3" s="1"/>
  <c r="N88" i="3"/>
  <c r="O88" i="3" s="1"/>
  <c r="P88" i="3" s="1"/>
  <c r="Q88" i="3" s="1"/>
  <c r="R88" i="3" s="1"/>
  <c r="G88" i="3"/>
  <c r="X87" i="3"/>
  <c r="T87" i="3"/>
  <c r="N87" i="3"/>
  <c r="O87" i="3" s="1"/>
  <c r="P87" i="3" s="1"/>
  <c r="Q87" i="3" s="1"/>
  <c r="R87" i="3" s="1"/>
  <c r="G87" i="3"/>
  <c r="X86" i="3"/>
  <c r="T86" i="3"/>
  <c r="U86" i="3" s="1"/>
  <c r="N86" i="3"/>
  <c r="O86" i="3" s="1"/>
  <c r="P86" i="3" s="1"/>
  <c r="Q86" i="3" s="1"/>
  <c r="R86" i="3" s="1"/>
  <c r="G86" i="3"/>
  <c r="X85" i="3"/>
  <c r="T85" i="3"/>
  <c r="N85" i="3"/>
  <c r="O85" i="3" s="1"/>
  <c r="P85" i="3" s="1"/>
  <c r="Q85" i="3" s="1"/>
  <c r="R85" i="3" s="1"/>
  <c r="G85" i="3"/>
  <c r="X84" i="3"/>
  <c r="T84" i="3"/>
  <c r="U84" i="3" s="1"/>
  <c r="V84" i="3" s="1"/>
  <c r="N84" i="3"/>
  <c r="O84" i="3" s="1"/>
  <c r="P84" i="3" s="1"/>
  <c r="Q84" i="3" s="1"/>
  <c r="R84" i="3" s="1"/>
  <c r="G84" i="3"/>
  <c r="X83" i="3"/>
  <c r="T83" i="3"/>
  <c r="U83" i="3" s="1"/>
  <c r="N83" i="3"/>
  <c r="O83" i="3" s="1"/>
  <c r="P83" i="3" s="1"/>
  <c r="Q83" i="3" s="1"/>
  <c r="R83" i="3" s="1"/>
  <c r="G83" i="3"/>
  <c r="X82" i="3"/>
  <c r="T82" i="3"/>
  <c r="U82" i="3" s="1"/>
  <c r="V82" i="3" s="1"/>
  <c r="N82" i="3"/>
  <c r="O82" i="3" s="1"/>
  <c r="P82" i="3" s="1"/>
  <c r="Q82" i="3" s="1"/>
  <c r="R82" i="3" s="1"/>
  <c r="G82" i="3"/>
  <c r="X81" i="3"/>
  <c r="T81" i="3"/>
  <c r="Q81" i="3"/>
  <c r="R81" i="3" s="1"/>
  <c r="N81" i="3"/>
  <c r="O81" i="3" s="1"/>
  <c r="P81" i="3" s="1"/>
  <c r="X80" i="3"/>
  <c r="T80" i="3"/>
  <c r="U80" i="3" s="1"/>
  <c r="V80" i="3" s="1"/>
  <c r="N80" i="3"/>
  <c r="O80" i="3" s="1"/>
  <c r="P80" i="3" s="1"/>
  <c r="Q80" i="3" s="1"/>
  <c r="R80" i="3" s="1"/>
  <c r="G80" i="3"/>
  <c r="X79" i="3"/>
  <c r="T79" i="3"/>
  <c r="U79" i="3" s="1"/>
  <c r="N79" i="3"/>
  <c r="O79" i="3" s="1"/>
  <c r="P79" i="3" s="1"/>
  <c r="Q79" i="3" s="1"/>
  <c r="R79" i="3" s="1"/>
  <c r="G79" i="3"/>
  <c r="X78" i="3"/>
  <c r="T78" i="3"/>
  <c r="N78" i="3"/>
  <c r="O78" i="3" s="1"/>
  <c r="P78" i="3" s="1"/>
  <c r="Q78" i="3" s="1"/>
  <c r="R78" i="3" s="1"/>
  <c r="G78" i="3"/>
  <c r="X77" i="3"/>
  <c r="T77" i="3"/>
  <c r="N77" i="3"/>
  <c r="O77" i="3" s="1"/>
  <c r="P77" i="3" s="1"/>
  <c r="Q77" i="3" s="1"/>
  <c r="R77" i="3" s="1"/>
  <c r="G77" i="3"/>
  <c r="X76" i="3"/>
  <c r="T76" i="3"/>
  <c r="U76" i="3" s="1"/>
  <c r="V76" i="3" s="1"/>
  <c r="N76" i="3"/>
  <c r="O76" i="3" s="1"/>
  <c r="P76" i="3" s="1"/>
  <c r="Q76" i="3" s="1"/>
  <c r="R76" i="3" s="1"/>
  <c r="G76" i="3"/>
  <c r="X75" i="3"/>
  <c r="T75" i="3"/>
  <c r="U75" i="3" s="1"/>
  <c r="V75" i="3" s="1"/>
  <c r="N75" i="3"/>
  <c r="O75" i="3" s="1"/>
  <c r="P75" i="3" s="1"/>
  <c r="Q75" i="3" s="1"/>
  <c r="R75" i="3" s="1"/>
  <c r="G75" i="3"/>
  <c r="X74" i="3"/>
  <c r="T74" i="3"/>
  <c r="N74" i="3"/>
  <c r="O74" i="3" s="1"/>
  <c r="P74" i="3" s="1"/>
  <c r="Q74" i="3" s="1"/>
  <c r="R74" i="3" s="1"/>
  <c r="G74" i="3"/>
  <c r="X73" i="3"/>
  <c r="T73" i="3"/>
  <c r="U73" i="3" s="1"/>
  <c r="V73" i="3" s="1"/>
  <c r="N73" i="3"/>
  <c r="O73" i="3" s="1"/>
  <c r="P73" i="3" s="1"/>
  <c r="Q73" i="3" s="1"/>
  <c r="R73" i="3" s="1"/>
  <c r="G73" i="3"/>
  <c r="X72" i="3"/>
  <c r="T72" i="3"/>
  <c r="U72" i="3" s="1"/>
  <c r="V72" i="3" s="1"/>
  <c r="N72" i="3"/>
  <c r="O72" i="3" s="1"/>
  <c r="P72" i="3" s="1"/>
  <c r="Q72" i="3" s="1"/>
  <c r="R72" i="3" s="1"/>
  <c r="G72" i="3"/>
  <c r="X71" i="3"/>
  <c r="T71" i="3"/>
  <c r="U71" i="3" s="1"/>
  <c r="V71" i="3" s="1"/>
  <c r="N71" i="3"/>
  <c r="O71" i="3" s="1"/>
  <c r="P71" i="3" s="1"/>
  <c r="Q71" i="3" s="1"/>
  <c r="R71" i="3" s="1"/>
  <c r="G71" i="3"/>
  <c r="X70" i="3"/>
  <c r="T70" i="3"/>
  <c r="N70" i="3"/>
  <c r="O70" i="3" s="1"/>
  <c r="P70" i="3" s="1"/>
  <c r="Q70" i="3" s="1"/>
  <c r="R70" i="3" s="1"/>
  <c r="G70" i="3"/>
  <c r="X69" i="3"/>
  <c r="T69" i="3"/>
  <c r="N69" i="3"/>
  <c r="O69" i="3" s="1"/>
  <c r="P69" i="3" s="1"/>
  <c r="Q69" i="3" s="1"/>
  <c r="R69" i="3" s="1"/>
  <c r="G69" i="3"/>
  <c r="X68" i="3"/>
  <c r="T68" i="3"/>
  <c r="U68" i="3" s="1"/>
  <c r="V68" i="3" s="1"/>
  <c r="N68" i="3"/>
  <c r="O68" i="3" s="1"/>
  <c r="P68" i="3" s="1"/>
  <c r="Q68" i="3" s="1"/>
  <c r="R68" i="3" s="1"/>
  <c r="G68" i="3"/>
  <c r="X67" i="3"/>
  <c r="T67" i="3"/>
  <c r="U67" i="3" s="1"/>
  <c r="V67" i="3" s="1"/>
  <c r="N67" i="3"/>
  <c r="O67" i="3" s="1"/>
  <c r="P67" i="3" s="1"/>
  <c r="Q67" i="3" s="1"/>
  <c r="R67" i="3" s="1"/>
  <c r="G67" i="3"/>
  <c r="X66" i="3"/>
  <c r="T66" i="3"/>
  <c r="N66" i="3"/>
  <c r="O66" i="3" s="1"/>
  <c r="P66" i="3" s="1"/>
  <c r="Q66" i="3" s="1"/>
  <c r="R66" i="3" s="1"/>
  <c r="G66" i="3"/>
  <c r="X65" i="3"/>
  <c r="T65" i="3"/>
  <c r="U65" i="3" s="1"/>
  <c r="V65" i="3" s="1"/>
  <c r="N65" i="3"/>
  <c r="O65" i="3" s="1"/>
  <c r="P65" i="3" s="1"/>
  <c r="Q65" i="3" s="1"/>
  <c r="R65" i="3" s="1"/>
  <c r="G65" i="3"/>
  <c r="X64" i="3"/>
  <c r="T64" i="3"/>
  <c r="N64" i="3"/>
  <c r="O64" i="3" s="1"/>
  <c r="P64" i="3" s="1"/>
  <c r="Q64" i="3" s="1"/>
  <c r="R64" i="3" s="1"/>
  <c r="G64" i="3"/>
  <c r="X63" i="3"/>
  <c r="T63" i="3"/>
  <c r="U63" i="3" s="1"/>
  <c r="V63" i="3" s="1"/>
  <c r="N63" i="3"/>
  <c r="O63" i="3" s="1"/>
  <c r="P63" i="3" s="1"/>
  <c r="Q63" i="3" s="1"/>
  <c r="R63" i="3" s="1"/>
  <c r="G63" i="3"/>
  <c r="X62" i="3"/>
  <c r="T62" i="3"/>
  <c r="U62" i="3" s="1"/>
  <c r="N62" i="3"/>
  <c r="O62" i="3" s="1"/>
  <c r="P62" i="3" s="1"/>
  <c r="Q62" i="3" s="1"/>
  <c r="R62" i="3" s="1"/>
  <c r="G62" i="3"/>
  <c r="X61" i="3"/>
  <c r="T61" i="3"/>
  <c r="U61" i="3" s="1"/>
  <c r="V61" i="3" s="1"/>
  <c r="N61" i="3"/>
  <c r="O61" i="3" s="1"/>
  <c r="P61" i="3" s="1"/>
  <c r="Q61" i="3" s="1"/>
  <c r="R61" i="3" s="1"/>
  <c r="G61" i="3"/>
  <c r="X60" i="3"/>
  <c r="T60" i="3"/>
  <c r="U60" i="3" s="1"/>
  <c r="V60" i="3" s="1"/>
  <c r="N60" i="3"/>
  <c r="O60" i="3" s="1"/>
  <c r="P60" i="3" s="1"/>
  <c r="Q60" i="3" s="1"/>
  <c r="R60" i="3" s="1"/>
  <c r="G60" i="3"/>
  <c r="X59" i="3"/>
  <c r="T59" i="3"/>
  <c r="U59" i="3" s="1"/>
  <c r="V59" i="3" s="1"/>
  <c r="N59" i="3"/>
  <c r="O59" i="3" s="1"/>
  <c r="P59" i="3" s="1"/>
  <c r="Q59" i="3" s="1"/>
  <c r="R59" i="3" s="1"/>
  <c r="G59" i="3"/>
  <c r="X58" i="3"/>
  <c r="T58" i="3"/>
  <c r="N58" i="3"/>
  <c r="O58" i="3" s="1"/>
  <c r="P58" i="3" s="1"/>
  <c r="Q58" i="3" s="1"/>
  <c r="R58" i="3" s="1"/>
  <c r="G58" i="3"/>
  <c r="X57" i="3"/>
  <c r="T57" i="3"/>
  <c r="U57" i="3" s="1"/>
  <c r="V57" i="3" s="1"/>
  <c r="N57" i="3"/>
  <c r="O57" i="3" s="1"/>
  <c r="P57" i="3" s="1"/>
  <c r="Q57" i="3" s="1"/>
  <c r="R57" i="3" s="1"/>
  <c r="G57" i="3"/>
  <c r="X56" i="3"/>
  <c r="T56" i="3"/>
  <c r="U56" i="3" s="1"/>
  <c r="V56" i="3" s="1"/>
  <c r="N56" i="3"/>
  <c r="O56" i="3" s="1"/>
  <c r="P56" i="3" s="1"/>
  <c r="Q56" i="3" s="1"/>
  <c r="R56" i="3" s="1"/>
  <c r="G56" i="3"/>
  <c r="X55" i="3"/>
  <c r="T55" i="3"/>
  <c r="U55" i="3" s="1"/>
  <c r="V55" i="3" s="1"/>
  <c r="N55" i="3"/>
  <c r="O55" i="3" s="1"/>
  <c r="P55" i="3" s="1"/>
  <c r="Q55" i="3" s="1"/>
  <c r="R55" i="3" s="1"/>
  <c r="G55" i="3"/>
  <c r="X54" i="3"/>
  <c r="T54" i="3"/>
  <c r="N54" i="3"/>
  <c r="O54" i="3" s="1"/>
  <c r="P54" i="3" s="1"/>
  <c r="Q54" i="3" s="1"/>
  <c r="R54" i="3" s="1"/>
  <c r="G54" i="3"/>
  <c r="X53" i="3"/>
  <c r="T53" i="3"/>
  <c r="U53" i="3" s="1"/>
  <c r="N53" i="3"/>
  <c r="O53" i="3" s="1"/>
  <c r="P53" i="3" s="1"/>
  <c r="Q53" i="3" s="1"/>
  <c r="R53" i="3" s="1"/>
  <c r="G53" i="3"/>
  <c r="X52" i="3"/>
  <c r="T52" i="3"/>
  <c r="U52" i="3" s="1"/>
  <c r="V52" i="3" s="1"/>
  <c r="N52" i="3"/>
  <c r="O52" i="3" s="1"/>
  <c r="P52" i="3" s="1"/>
  <c r="Q52" i="3" s="1"/>
  <c r="R52" i="3" s="1"/>
  <c r="G52" i="3"/>
  <c r="X51" i="3"/>
  <c r="T51" i="3"/>
  <c r="U51" i="3" s="1"/>
  <c r="V51" i="3" s="1"/>
  <c r="N51" i="3"/>
  <c r="O51" i="3" s="1"/>
  <c r="P51" i="3" s="1"/>
  <c r="Q51" i="3" s="1"/>
  <c r="R51" i="3" s="1"/>
  <c r="G51" i="3"/>
  <c r="X50" i="3"/>
  <c r="T50" i="3"/>
  <c r="U50" i="3" s="1"/>
  <c r="V50" i="3" s="1"/>
  <c r="N50" i="3"/>
  <c r="O50" i="3" s="1"/>
  <c r="P50" i="3" s="1"/>
  <c r="Q50" i="3" s="1"/>
  <c r="R50" i="3" s="1"/>
  <c r="G50" i="3"/>
  <c r="X49" i="3"/>
  <c r="T49" i="3"/>
  <c r="U49" i="3" s="1"/>
  <c r="N49" i="3"/>
  <c r="O49" i="3" s="1"/>
  <c r="P49" i="3" s="1"/>
  <c r="Q49" i="3" s="1"/>
  <c r="R49" i="3" s="1"/>
  <c r="G49" i="3"/>
  <c r="X48" i="3"/>
  <c r="T48" i="3"/>
  <c r="N48" i="3"/>
  <c r="O48" i="3" s="1"/>
  <c r="P48" i="3" s="1"/>
  <c r="Q48" i="3" s="1"/>
  <c r="R48" i="3" s="1"/>
  <c r="G48" i="3"/>
  <c r="X47" i="3"/>
  <c r="T47" i="3"/>
  <c r="U47" i="3" s="1"/>
  <c r="V47" i="3" s="1"/>
  <c r="N47" i="3"/>
  <c r="O47" i="3" s="1"/>
  <c r="P47" i="3" s="1"/>
  <c r="Q47" i="3" s="1"/>
  <c r="R47" i="3" s="1"/>
  <c r="G47" i="3"/>
  <c r="X46" i="3"/>
  <c r="T46" i="3"/>
  <c r="U46" i="3" s="1"/>
  <c r="N46" i="3"/>
  <c r="O46" i="3" s="1"/>
  <c r="P46" i="3" s="1"/>
  <c r="Q46" i="3" s="1"/>
  <c r="R46" i="3" s="1"/>
  <c r="G46" i="3"/>
  <c r="X45" i="3"/>
  <c r="T45" i="3"/>
  <c r="U45" i="3" s="1"/>
  <c r="V45" i="3" s="1"/>
  <c r="N45" i="3"/>
  <c r="O45" i="3" s="1"/>
  <c r="P45" i="3" s="1"/>
  <c r="Q45" i="3" s="1"/>
  <c r="R45" i="3" s="1"/>
  <c r="G45" i="3"/>
  <c r="X44" i="3"/>
  <c r="T44" i="3"/>
  <c r="U44" i="3" s="1"/>
  <c r="V44" i="3" s="1"/>
  <c r="N44" i="3"/>
  <c r="O44" i="3" s="1"/>
  <c r="P44" i="3" s="1"/>
  <c r="Q44" i="3" s="1"/>
  <c r="R44" i="3" s="1"/>
  <c r="G44" i="3"/>
  <c r="X43" i="3"/>
  <c r="T43" i="3"/>
  <c r="U43" i="3" s="1"/>
  <c r="V43" i="3" s="1"/>
  <c r="N43" i="3"/>
  <c r="O43" i="3" s="1"/>
  <c r="P43" i="3" s="1"/>
  <c r="Q43" i="3" s="1"/>
  <c r="R43" i="3" s="1"/>
  <c r="G43" i="3"/>
  <c r="X42" i="3"/>
  <c r="T42" i="3"/>
  <c r="U42" i="3" s="1"/>
  <c r="N42" i="3"/>
  <c r="O42" i="3" s="1"/>
  <c r="P42" i="3" s="1"/>
  <c r="Q42" i="3" s="1"/>
  <c r="R42" i="3" s="1"/>
  <c r="G42" i="3"/>
  <c r="X41" i="3"/>
  <c r="T41" i="3"/>
  <c r="U41" i="3" s="1"/>
  <c r="V41" i="3" s="1"/>
  <c r="N41" i="3"/>
  <c r="O41" i="3" s="1"/>
  <c r="P41" i="3" s="1"/>
  <c r="Q41" i="3" s="1"/>
  <c r="R41" i="3" s="1"/>
  <c r="G41" i="3"/>
  <c r="X40" i="3"/>
  <c r="T40" i="3"/>
  <c r="U40" i="3" s="1"/>
  <c r="V40" i="3" s="1"/>
  <c r="N40" i="3"/>
  <c r="O40" i="3" s="1"/>
  <c r="P40" i="3" s="1"/>
  <c r="Q40" i="3" s="1"/>
  <c r="R40" i="3" s="1"/>
  <c r="G40" i="3"/>
  <c r="X39" i="3"/>
  <c r="T39" i="3"/>
  <c r="U39" i="3" s="1"/>
  <c r="V39" i="3" s="1"/>
  <c r="N39" i="3"/>
  <c r="O39" i="3" s="1"/>
  <c r="P39" i="3" s="1"/>
  <c r="Q39" i="3" s="1"/>
  <c r="R39" i="3" s="1"/>
  <c r="G39" i="3"/>
  <c r="X38" i="3"/>
  <c r="T38" i="3"/>
  <c r="U38" i="3" s="1"/>
  <c r="V38" i="3" s="1"/>
  <c r="N38" i="3"/>
  <c r="O38" i="3" s="1"/>
  <c r="P38" i="3" s="1"/>
  <c r="Q38" i="3" s="1"/>
  <c r="R38" i="3" s="1"/>
  <c r="G38" i="3"/>
  <c r="X37" i="3"/>
  <c r="T37" i="3"/>
  <c r="U37" i="3" s="1"/>
  <c r="N37" i="3"/>
  <c r="O37" i="3" s="1"/>
  <c r="P37" i="3" s="1"/>
  <c r="Q37" i="3" s="1"/>
  <c r="R37" i="3" s="1"/>
  <c r="G37" i="3"/>
  <c r="X36" i="3"/>
  <c r="T36" i="3"/>
  <c r="U36" i="3" s="1"/>
  <c r="V36" i="3" s="1"/>
  <c r="N36" i="3"/>
  <c r="O36" i="3" s="1"/>
  <c r="P36" i="3" s="1"/>
  <c r="Q36" i="3" s="1"/>
  <c r="R36" i="3" s="1"/>
  <c r="G36" i="3"/>
  <c r="X35" i="3"/>
  <c r="T35" i="3"/>
  <c r="U35" i="3" s="1"/>
  <c r="V35" i="3" s="1"/>
  <c r="N35" i="3"/>
  <c r="O35" i="3" s="1"/>
  <c r="P35" i="3" s="1"/>
  <c r="Q35" i="3" s="1"/>
  <c r="R35" i="3" s="1"/>
  <c r="G35" i="3"/>
  <c r="X34" i="3"/>
  <c r="T34" i="3"/>
  <c r="U34" i="3" s="1"/>
  <c r="N34" i="3"/>
  <c r="O34" i="3" s="1"/>
  <c r="P34" i="3" s="1"/>
  <c r="Q34" i="3" s="1"/>
  <c r="R34" i="3" s="1"/>
  <c r="G34" i="3"/>
  <c r="X33" i="3"/>
  <c r="T33" i="3"/>
  <c r="U33" i="3" s="1"/>
  <c r="V33" i="3" s="1"/>
  <c r="N33" i="3"/>
  <c r="O33" i="3" s="1"/>
  <c r="P33" i="3" s="1"/>
  <c r="Q33" i="3" s="1"/>
  <c r="R33" i="3" s="1"/>
  <c r="G33" i="3"/>
  <c r="X32" i="3"/>
  <c r="T32" i="3"/>
  <c r="U32" i="3" s="1"/>
  <c r="V32" i="3" s="1"/>
  <c r="N32" i="3"/>
  <c r="O32" i="3" s="1"/>
  <c r="P32" i="3" s="1"/>
  <c r="Q32" i="3" s="1"/>
  <c r="R32" i="3" s="1"/>
  <c r="G32" i="3"/>
  <c r="X31" i="3"/>
  <c r="T31" i="3"/>
  <c r="U31" i="3" s="1"/>
  <c r="V31" i="3" s="1"/>
  <c r="N31" i="3"/>
  <c r="O31" i="3" s="1"/>
  <c r="P31" i="3" s="1"/>
  <c r="Q31" i="3" s="1"/>
  <c r="R31" i="3" s="1"/>
  <c r="G31" i="3"/>
  <c r="X30" i="3"/>
  <c r="T30" i="3"/>
  <c r="N30" i="3"/>
  <c r="O30" i="3" s="1"/>
  <c r="P30" i="3" s="1"/>
  <c r="Q30" i="3" s="1"/>
  <c r="R30" i="3" s="1"/>
  <c r="G30" i="3"/>
  <c r="X29" i="3"/>
  <c r="T29" i="3"/>
  <c r="U29" i="3" s="1"/>
  <c r="V29" i="3" s="1"/>
  <c r="N29" i="3"/>
  <c r="O29" i="3" s="1"/>
  <c r="P29" i="3" s="1"/>
  <c r="Q29" i="3" s="1"/>
  <c r="R29" i="3" s="1"/>
  <c r="G29" i="3"/>
  <c r="X28" i="3"/>
  <c r="T28" i="3"/>
  <c r="U28" i="3" s="1"/>
  <c r="N28" i="3"/>
  <c r="O28" i="3" s="1"/>
  <c r="P28" i="3" s="1"/>
  <c r="Q28" i="3" s="1"/>
  <c r="R28" i="3" s="1"/>
  <c r="G28" i="3"/>
  <c r="X27" i="3"/>
  <c r="T27" i="3"/>
  <c r="U27" i="3" s="1"/>
  <c r="V27" i="3" s="1"/>
  <c r="N27" i="3"/>
  <c r="O27" i="3" s="1"/>
  <c r="P27" i="3" s="1"/>
  <c r="Q27" i="3" s="1"/>
  <c r="R27" i="3" s="1"/>
  <c r="G27" i="3"/>
  <c r="X26" i="3"/>
  <c r="T26" i="3"/>
  <c r="N26" i="3"/>
  <c r="O26" i="3" s="1"/>
  <c r="P26" i="3" s="1"/>
  <c r="Q26" i="3" s="1"/>
  <c r="R26" i="3" s="1"/>
  <c r="G26" i="3"/>
  <c r="X25" i="3"/>
  <c r="T25" i="3"/>
  <c r="U25" i="3" s="1"/>
  <c r="V25" i="3" s="1"/>
  <c r="N25" i="3"/>
  <c r="O25" i="3" s="1"/>
  <c r="P25" i="3" s="1"/>
  <c r="Q25" i="3" s="1"/>
  <c r="R25" i="3" s="1"/>
  <c r="G25" i="3"/>
  <c r="X24" i="3"/>
  <c r="T24" i="3"/>
  <c r="U24" i="3" s="1"/>
  <c r="V24" i="3" s="1"/>
  <c r="N24" i="3"/>
  <c r="O24" i="3" s="1"/>
  <c r="P24" i="3" s="1"/>
  <c r="Q24" i="3" s="1"/>
  <c r="R24" i="3" s="1"/>
  <c r="G24" i="3"/>
  <c r="X23" i="3"/>
  <c r="T23" i="3"/>
  <c r="U23" i="3" s="1"/>
  <c r="V23" i="3" s="1"/>
  <c r="N23" i="3"/>
  <c r="O23" i="3" s="1"/>
  <c r="P23" i="3" s="1"/>
  <c r="Q23" i="3" s="1"/>
  <c r="R23" i="3" s="1"/>
  <c r="G23" i="3"/>
  <c r="X22" i="3"/>
  <c r="T22" i="3"/>
  <c r="U22" i="3" s="1"/>
  <c r="V22" i="3" s="1"/>
  <c r="N22" i="3"/>
  <c r="O22" i="3" s="1"/>
  <c r="P22" i="3" s="1"/>
  <c r="Q22" i="3" s="1"/>
  <c r="R22" i="3" s="1"/>
  <c r="G22" i="3"/>
  <c r="X21" i="3"/>
  <c r="T21" i="3"/>
  <c r="N21" i="3"/>
  <c r="O21" i="3" s="1"/>
  <c r="P21" i="3" s="1"/>
  <c r="Q21" i="3" s="1"/>
  <c r="R21" i="3" s="1"/>
  <c r="G21" i="3"/>
  <c r="X20" i="3"/>
  <c r="T20" i="3"/>
  <c r="U20" i="3" s="1"/>
  <c r="V20" i="3" s="1"/>
  <c r="N20" i="3"/>
  <c r="O20" i="3" s="1"/>
  <c r="P20" i="3" s="1"/>
  <c r="Q20" i="3" s="1"/>
  <c r="R20" i="3" s="1"/>
  <c r="G20" i="3"/>
  <c r="X19" i="3"/>
  <c r="T19" i="3"/>
  <c r="U19" i="3" s="1"/>
  <c r="V19" i="3" s="1"/>
  <c r="N19" i="3"/>
  <c r="O19" i="3" s="1"/>
  <c r="P19" i="3" s="1"/>
  <c r="Q19" i="3" s="1"/>
  <c r="R19" i="3" s="1"/>
  <c r="G19" i="3"/>
  <c r="X18" i="3"/>
  <c r="T18" i="3"/>
  <c r="N18" i="3"/>
  <c r="O18" i="3" s="1"/>
  <c r="P18" i="3" s="1"/>
  <c r="Q18" i="3" s="1"/>
  <c r="R18" i="3" s="1"/>
  <c r="G18" i="3"/>
  <c r="X17" i="3"/>
  <c r="T17" i="3"/>
  <c r="U17" i="3" s="1"/>
  <c r="V17" i="3" s="1"/>
  <c r="N17" i="3"/>
  <c r="O17" i="3" s="1"/>
  <c r="P17" i="3" s="1"/>
  <c r="Q17" i="3" s="1"/>
  <c r="R17" i="3" s="1"/>
  <c r="G17" i="3"/>
  <c r="X16" i="3"/>
  <c r="T16" i="3"/>
  <c r="U16" i="3" s="1"/>
  <c r="N16" i="3"/>
  <c r="O16" i="3" s="1"/>
  <c r="P16" i="3" s="1"/>
  <c r="Q16" i="3" s="1"/>
  <c r="R16" i="3" s="1"/>
  <c r="G16" i="3"/>
  <c r="X15" i="3"/>
  <c r="T15" i="3"/>
  <c r="U15" i="3" s="1"/>
  <c r="V15" i="3" s="1"/>
  <c r="N15" i="3"/>
  <c r="O15" i="3" s="1"/>
  <c r="P15" i="3" s="1"/>
  <c r="Q15" i="3" s="1"/>
  <c r="R15" i="3" s="1"/>
  <c r="G15" i="3"/>
  <c r="X14" i="3"/>
  <c r="T14" i="3"/>
  <c r="N14" i="3"/>
  <c r="O14" i="3" s="1"/>
  <c r="P14" i="3" s="1"/>
  <c r="Q14" i="3" s="1"/>
  <c r="R14" i="3" s="1"/>
  <c r="G14" i="3"/>
  <c r="X13" i="3"/>
  <c r="T13" i="3"/>
  <c r="U13" i="3" s="1"/>
  <c r="V13" i="3" s="1"/>
  <c r="N13" i="3"/>
  <c r="O13" i="3" s="1"/>
  <c r="P13" i="3" s="1"/>
  <c r="Q13" i="3" s="1"/>
  <c r="R13" i="3" s="1"/>
  <c r="G13" i="3"/>
  <c r="X12" i="3"/>
  <c r="T12" i="3"/>
  <c r="U12" i="3" s="1"/>
  <c r="V12" i="3" s="1"/>
  <c r="N12" i="3"/>
  <c r="O12" i="3" s="1"/>
  <c r="P12" i="3" s="1"/>
  <c r="Q12" i="3" s="1"/>
  <c r="R12" i="3" s="1"/>
  <c r="G12" i="3"/>
  <c r="X11" i="3"/>
  <c r="T11" i="3"/>
  <c r="U11" i="3" s="1"/>
  <c r="V11" i="3" s="1"/>
  <c r="N11" i="3"/>
  <c r="O11" i="3" s="1"/>
  <c r="P11" i="3" s="1"/>
  <c r="Q11" i="3" s="1"/>
  <c r="R11" i="3" s="1"/>
  <c r="G11" i="3"/>
  <c r="X10" i="3"/>
  <c r="T10" i="3"/>
  <c r="U10" i="3" s="1"/>
  <c r="N10" i="3"/>
  <c r="O10" i="3" s="1"/>
  <c r="P10" i="3" s="1"/>
  <c r="Q10" i="3" s="1"/>
  <c r="R10" i="3" s="1"/>
  <c r="G10" i="3"/>
  <c r="X9" i="3"/>
  <c r="T9" i="3"/>
  <c r="U9" i="3" s="1"/>
  <c r="V9" i="3" s="1"/>
  <c r="N9" i="3"/>
  <c r="O9" i="3" s="1"/>
  <c r="P9" i="3" s="1"/>
  <c r="Q9" i="3" s="1"/>
  <c r="R9" i="3" s="1"/>
  <c r="G9" i="3"/>
  <c r="X8" i="3"/>
  <c r="T8" i="3"/>
  <c r="U8" i="3" s="1"/>
  <c r="V8" i="3" s="1"/>
  <c r="N8" i="3"/>
  <c r="O8" i="3" s="1"/>
  <c r="P8" i="3" s="1"/>
  <c r="Q8" i="3" s="1"/>
  <c r="R8" i="3" s="1"/>
  <c r="G8" i="3"/>
  <c r="X7" i="3"/>
  <c r="T7" i="3"/>
  <c r="U7" i="3" s="1"/>
  <c r="V7" i="3" s="1"/>
  <c r="N7" i="3"/>
  <c r="O7" i="3" s="1"/>
  <c r="P7" i="3" s="1"/>
  <c r="Q7" i="3" s="1"/>
  <c r="R7" i="3" s="1"/>
  <c r="G7" i="3"/>
  <c r="X6" i="3"/>
  <c r="T6" i="3"/>
  <c r="U6" i="3" s="1"/>
  <c r="N6" i="3"/>
  <c r="O6" i="3" s="1"/>
  <c r="P6" i="3" s="1"/>
  <c r="Q6" i="3" s="1"/>
  <c r="R6" i="3" s="1"/>
  <c r="G6" i="3"/>
  <c r="X5" i="3"/>
  <c r="T5" i="3"/>
  <c r="U5" i="3" s="1"/>
  <c r="N5" i="3"/>
  <c r="O5" i="3" s="1"/>
  <c r="P5" i="3" s="1"/>
  <c r="Q5" i="3" s="1"/>
  <c r="R5" i="3" s="1"/>
  <c r="G5" i="3"/>
  <c r="X4" i="3"/>
  <c r="T4" i="3"/>
  <c r="U4" i="3" s="1"/>
  <c r="N4" i="3"/>
  <c r="O4" i="3" s="1"/>
  <c r="P4" i="3" s="1"/>
  <c r="Q4" i="3" s="1"/>
  <c r="R4" i="3" s="1"/>
  <c r="G4" i="3"/>
  <c r="X3" i="3"/>
  <c r="T3" i="3"/>
  <c r="U3" i="3" s="1"/>
  <c r="V3" i="3" s="1"/>
  <c r="N3" i="3"/>
  <c r="O3" i="3" s="1"/>
  <c r="P3" i="3" s="1"/>
  <c r="Q3" i="3" s="1"/>
  <c r="R3" i="3" s="1"/>
  <c r="G3" i="3"/>
  <c r="X2" i="3"/>
  <c r="T2" i="3"/>
  <c r="N2" i="3"/>
  <c r="O2" i="3" s="1"/>
  <c r="P2" i="3" s="1"/>
  <c r="Q2" i="3" s="1"/>
  <c r="R2" i="3" s="1"/>
  <c r="G2" i="3"/>
  <c r="BM21" i="1"/>
  <c r="BK21" i="1"/>
  <c r="BF21" i="1"/>
  <c r="BG21" i="1" s="1"/>
  <c r="BA21" i="1"/>
  <c r="AY21" i="1"/>
  <c r="BJ21" i="1" s="1"/>
  <c r="AT21" i="1"/>
  <c r="AO21" i="1"/>
  <c r="AP21" i="1" s="1"/>
  <c r="AQ21" i="1" s="1"/>
  <c r="AS21" i="1" s="1"/>
  <c r="AU21" i="1" s="1"/>
  <c r="AJ21" i="1"/>
  <c r="AE21" i="1"/>
  <c r="AF21" i="1" s="1"/>
  <c r="AG21" i="1" s="1"/>
  <c r="AI21" i="1" s="1"/>
  <c r="AK21" i="1" s="1"/>
  <c r="K21" i="1"/>
  <c r="G21" i="1"/>
  <c r="BM20" i="1"/>
  <c r="BK20" i="1"/>
  <c r="BF20" i="1"/>
  <c r="BG20" i="1" s="1"/>
  <c r="BH20" i="1" s="1"/>
  <c r="BI20" i="1" s="1"/>
  <c r="BN20" i="1" s="1"/>
  <c r="BA20" i="1"/>
  <c r="BB20" i="1" s="1"/>
  <c r="AY20" i="1"/>
  <c r="BJ20" i="1" s="1"/>
  <c r="AT20" i="1"/>
  <c r="AO20" i="1"/>
  <c r="AP20" i="1" s="1"/>
  <c r="AQ20" i="1" s="1"/>
  <c r="AS20" i="1" s="1"/>
  <c r="AU20" i="1" s="1"/>
  <c r="AJ20" i="1"/>
  <c r="AE20" i="1"/>
  <c r="AF20" i="1" s="1"/>
  <c r="AG20" i="1" s="1"/>
  <c r="AI20" i="1" s="1"/>
  <c r="AK20" i="1" s="1"/>
  <c r="K20" i="1"/>
  <c r="G20" i="1"/>
  <c r="BM19" i="1"/>
  <c r="BK19" i="1"/>
  <c r="BF19" i="1"/>
  <c r="BG19" i="1" s="1"/>
  <c r="BA19" i="1"/>
  <c r="AY19" i="1"/>
  <c r="BJ19" i="1" s="1"/>
  <c r="AT19" i="1"/>
  <c r="AO19" i="1"/>
  <c r="AP19" i="1" s="1"/>
  <c r="AQ19" i="1" s="1"/>
  <c r="AS19" i="1" s="1"/>
  <c r="AU19" i="1" s="1"/>
  <c r="AJ19" i="1"/>
  <c r="AE19" i="1"/>
  <c r="AF19" i="1" s="1"/>
  <c r="AG19" i="1" s="1"/>
  <c r="AI19" i="1" s="1"/>
  <c r="AK19" i="1" s="1"/>
  <c r="K19" i="1"/>
  <c r="G19" i="1"/>
  <c r="BM18" i="1"/>
  <c r="BK18" i="1"/>
  <c r="BF18" i="1"/>
  <c r="BA18" i="1"/>
  <c r="BB18" i="1" s="1"/>
  <c r="AY18" i="1"/>
  <c r="BJ18" i="1" s="1"/>
  <c r="AT18" i="1"/>
  <c r="AO18" i="1"/>
  <c r="AP18" i="1" s="1"/>
  <c r="AQ18" i="1" s="1"/>
  <c r="AS18" i="1" s="1"/>
  <c r="AU18" i="1" s="1"/>
  <c r="AJ18" i="1"/>
  <c r="AE18" i="1"/>
  <c r="AF18" i="1" s="1"/>
  <c r="AG18" i="1" s="1"/>
  <c r="AI18" i="1" s="1"/>
  <c r="AK18" i="1" s="1"/>
  <c r="K18" i="1"/>
  <c r="G18" i="1"/>
  <c r="BM17" i="1"/>
  <c r="BK17" i="1"/>
  <c r="BF17" i="1"/>
  <c r="BG17" i="1" s="1"/>
  <c r="BH17" i="1" s="1"/>
  <c r="BI17" i="1" s="1"/>
  <c r="BN17" i="1" s="1"/>
  <c r="BA17" i="1"/>
  <c r="BB17" i="1" s="1"/>
  <c r="AY17" i="1"/>
  <c r="BJ17" i="1" s="1"/>
  <c r="AT17" i="1"/>
  <c r="AO17" i="1"/>
  <c r="AP17" i="1" s="1"/>
  <c r="AQ17" i="1" s="1"/>
  <c r="AS17" i="1" s="1"/>
  <c r="AU17" i="1" s="1"/>
  <c r="AJ17" i="1"/>
  <c r="AE17" i="1"/>
  <c r="AF17" i="1" s="1"/>
  <c r="AG17" i="1" s="1"/>
  <c r="AI17" i="1" s="1"/>
  <c r="AK17" i="1" s="1"/>
  <c r="K17" i="1"/>
  <c r="G17" i="1"/>
  <c r="BM16" i="1"/>
  <c r="BK16" i="1"/>
  <c r="BF16" i="1"/>
  <c r="BG16" i="1" s="1"/>
  <c r="BH16" i="1" s="1"/>
  <c r="BI16" i="1" s="1"/>
  <c r="BN16" i="1" s="1"/>
  <c r="BA16" i="1"/>
  <c r="BB16" i="1" s="1"/>
  <c r="AY16" i="1"/>
  <c r="BJ16" i="1" s="1"/>
  <c r="AT16" i="1"/>
  <c r="AO16" i="1"/>
  <c r="AP16" i="1" s="1"/>
  <c r="AQ16" i="1" s="1"/>
  <c r="AS16" i="1" s="1"/>
  <c r="AU16" i="1" s="1"/>
  <c r="AJ16" i="1"/>
  <c r="AE16" i="1"/>
  <c r="AF16" i="1" s="1"/>
  <c r="AG16" i="1" s="1"/>
  <c r="AI16" i="1" s="1"/>
  <c r="AK16" i="1" s="1"/>
  <c r="K16" i="1"/>
  <c r="G16" i="1"/>
  <c r="BM15" i="1"/>
  <c r="BK15" i="1"/>
  <c r="BF15" i="1"/>
  <c r="BG15" i="1" s="1"/>
  <c r="BA15" i="1"/>
  <c r="AY15" i="1"/>
  <c r="BJ15" i="1" s="1"/>
  <c r="AT15" i="1"/>
  <c r="AO15" i="1"/>
  <c r="AP15" i="1" s="1"/>
  <c r="AQ15" i="1" s="1"/>
  <c r="AS15" i="1" s="1"/>
  <c r="AU15" i="1" s="1"/>
  <c r="AJ15" i="1"/>
  <c r="AE15" i="1"/>
  <c r="AF15" i="1" s="1"/>
  <c r="AG15" i="1" s="1"/>
  <c r="AI15" i="1" s="1"/>
  <c r="AK15" i="1" s="1"/>
  <c r="K15" i="1"/>
  <c r="G15" i="1"/>
  <c r="BM14" i="1"/>
  <c r="BK14" i="1"/>
  <c r="BF14" i="1"/>
  <c r="BA14" i="1"/>
  <c r="BB14" i="1" s="1"/>
  <c r="AY14" i="1"/>
  <c r="BJ14" i="1" s="1"/>
  <c r="AT14" i="1"/>
  <c r="AO14" i="1"/>
  <c r="AP14" i="1" s="1"/>
  <c r="AQ14" i="1" s="1"/>
  <c r="AS14" i="1" s="1"/>
  <c r="AU14" i="1" s="1"/>
  <c r="AJ14" i="1"/>
  <c r="AE14" i="1"/>
  <c r="AF14" i="1" s="1"/>
  <c r="AG14" i="1" s="1"/>
  <c r="AI14" i="1" s="1"/>
  <c r="AK14" i="1" s="1"/>
  <c r="K14" i="1"/>
  <c r="G14" i="1"/>
  <c r="BM13" i="1"/>
  <c r="BK13" i="1"/>
  <c r="BF13" i="1"/>
  <c r="BG13" i="1" s="1"/>
  <c r="BH13" i="1" s="1"/>
  <c r="BI13" i="1" s="1"/>
  <c r="BN13" i="1" s="1"/>
  <c r="BA13" i="1"/>
  <c r="BB13" i="1" s="1"/>
  <c r="AY13" i="1"/>
  <c r="BJ13" i="1" s="1"/>
  <c r="AT13" i="1"/>
  <c r="AO13" i="1"/>
  <c r="AP13" i="1" s="1"/>
  <c r="AQ13" i="1" s="1"/>
  <c r="AS13" i="1" s="1"/>
  <c r="AU13" i="1" s="1"/>
  <c r="AJ13" i="1"/>
  <c r="AE13" i="1"/>
  <c r="AF13" i="1" s="1"/>
  <c r="AG13" i="1" s="1"/>
  <c r="AI13" i="1" s="1"/>
  <c r="AK13" i="1" s="1"/>
  <c r="K13" i="1"/>
  <c r="G13" i="1"/>
  <c r="BM12" i="1"/>
  <c r="BK12" i="1"/>
  <c r="BF12" i="1"/>
  <c r="BA12" i="1"/>
  <c r="BB12" i="1" s="1"/>
  <c r="AY12" i="1"/>
  <c r="BJ12" i="1" s="1"/>
  <c r="AT12" i="1"/>
  <c r="AO12" i="1"/>
  <c r="AP12" i="1" s="1"/>
  <c r="AQ12" i="1" s="1"/>
  <c r="AS12" i="1" s="1"/>
  <c r="AU12" i="1" s="1"/>
  <c r="AJ12" i="1"/>
  <c r="AE12" i="1"/>
  <c r="AF12" i="1" s="1"/>
  <c r="AG12" i="1" s="1"/>
  <c r="AI12" i="1" s="1"/>
  <c r="AK12" i="1" s="1"/>
  <c r="K12" i="1"/>
  <c r="G12" i="1"/>
  <c r="BM11" i="1"/>
  <c r="BK11" i="1"/>
  <c r="BF11" i="1"/>
  <c r="BG11" i="1" s="1"/>
  <c r="BA11" i="1"/>
  <c r="AY11" i="1"/>
  <c r="BJ11" i="1" s="1"/>
  <c r="AT11" i="1"/>
  <c r="AO11" i="1"/>
  <c r="AP11" i="1" s="1"/>
  <c r="AQ11" i="1" s="1"/>
  <c r="AS11" i="1" s="1"/>
  <c r="AU11" i="1" s="1"/>
  <c r="AJ11" i="1"/>
  <c r="AE11" i="1"/>
  <c r="AF11" i="1" s="1"/>
  <c r="AG11" i="1" s="1"/>
  <c r="AI11" i="1" s="1"/>
  <c r="AK11" i="1" s="1"/>
  <c r="K11" i="1"/>
  <c r="G11" i="1"/>
  <c r="BM10" i="1"/>
  <c r="BK10" i="1"/>
  <c r="BF10" i="1"/>
  <c r="BG10" i="1" s="1"/>
  <c r="BA10" i="1"/>
  <c r="BB10" i="1" s="1"/>
  <c r="BC10" i="1" s="1"/>
  <c r="BD10" i="1" s="1"/>
  <c r="BL10" i="1" s="1"/>
  <c r="AY10" i="1"/>
  <c r="BJ10" i="1" s="1"/>
  <c r="AT10" i="1"/>
  <c r="AO10" i="1"/>
  <c r="AP10" i="1" s="1"/>
  <c r="AQ10" i="1" s="1"/>
  <c r="AS10" i="1" s="1"/>
  <c r="AU10" i="1" s="1"/>
  <c r="AJ10" i="1"/>
  <c r="AE10" i="1"/>
  <c r="AF10" i="1" s="1"/>
  <c r="AG10" i="1" s="1"/>
  <c r="AI10" i="1" s="1"/>
  <c r="AK10" i="1" s="1"/>
  <c r="K10" i="1"/>
  <c r="G10" i="1"/>
  <c r="BM9" i="1"/>
  <c r="BK9" i="1"/>
  <c r="BF9" i="1"/>
  <c r="BG9" i="1" s="1"/>
  <c r="BA9" i="1"/>
  <c r="BB9" i="1" s="1"/>
  <c r="AY9" i="1"/>
  <c r="BJ9" i="1" s="1"/>
  <c r="AT9" i="1"/>
  <c r="AO9" i="1"/>
  <c r="AP9" i="1" s="1"/>
  <c r="AQ9" i="1" s="1"/>
  <c r="AS9" i="1" s="1"/>
  <c r="AU9" i="1" s="1"/>
  <c r="AJ9" i="1"/>
  <c r="AE9" i="1"/>
  <c r="AF9" i="1" s="1"/>
  <c r="AG9" i="1" s="1"/>
  <c r="AI9" i="1" s="1"/>
  <c r="AK9" i="1" s="1"/>
  <c r="K9" i="1"/>
  <c r="G9" i="1"/>
  <c r="BM8" i="1"/>
  <c r="BK8" i="1"/>
  <c r="BF8" i="1"/>
  <c r="BA8" i="1"/>
  <c r="AY8" i="1"/>
  <c r="BJ8" i="1" s="1"/>
  <c r="AT8" i="1"/>
  <c r="AO8" i="1"/>
  <c r="AP8" i="1" s="1"/>
  <c r="AQ8" i="1" s="1"/>
  <c r="AS8" i="1" s="1"/>
  <c r="AU8" i="1" s="1"/>
  <c r="AJ8" i="1"/>
  <c r="AE8" i="1"/>
  <c r="AF8" i="1" s="1"/>
  <c r="AG8" i="1" s="1"/>
  <c r="AI8" i="1" s="1"/>
  <c r="AK8" i="1" s="1"/>
  <c r="K8" i="1"/>
  <c r="G8" i="1"/>
  <c r="BM7" i="1"/>
  <c r="BK7" i="1"/>
  <c r="BF7" i="1"/>
  <c r="BG7" i="1" s="1"/>
  <c r="BA7" i="1"/>
  <c r="BB7" i="1" s="1"/>
  <c r="BC7" i="1" s="1"/>
  <c r="BD7" i="1" s="1"/>
  <c r="BL7" i="1" s="1"/>
  <c r="AY7" i="1"/>
  <c r="BJ7" i="1" s="1"/>
  <c r="AT7" i="1"/>
  <c r="AO7" i="1"/>
  <c r="AP7" i="1" s="1"/>
  <c r="AQ7" i="1" s="1"/>
  <c r="AS7" i="1" s="1"/>
  <c r="AU7" i="1" s="1"/>
  <c r="AJ7" i="1"/>
  <c r="AE7" i="1"/>
  <c r="AF7" i="1" s="1"/>
  <c r="AG7" i="1" s="1"/>
  <c r="AI7" i="1" s="1"/>
  <c r="AK7" i="1" s="1"/>
  <c r="K7" i="1"/>
  <c r="G7" i="1"/>
  <c r="BM6" i="1"/>
  <c r="BK6" i="1"/>
  <c r="BF6" i="1"/>
  <c r="BG6" i="1" s="1"/>
  <c r="BH6" i="1" s="1"/>
  <c r="BI6" i="1" s="1"/>
  <c r="BN6" i="1" s="1"/>
  <c r="BA6" i="1"/>
  <c r="AY6" i="1"/>
  <c r="BJ6" i="1" s="1"/>
  <c r="AT6" i="1"/>
  <c r="AO6" i="1"/>
  <c r="AP6" i="1" s="1"/>
  <c r="AQ6" i="1" s="1"/>
  <c r="AS6" i="1" s="1"/>
  <c r="AU6" i="1" s="1"/>
  <c r="AJ6" i="1"/>
  <c r="AE6" i="1"/>
  <c r="AF6" i="1" s="1"/>
  <c r="AG6" i="1" s="1"/>
  <c r="AI6" i="1" s="1"/>
  <c r="AK6" i="1" s="1"/>
  <c r="G6" i="1"/>
  <c r="L6" i="1" s="1"/>
  <c r="BM5" i="1"/>
  <c r="BK5" i="1"/>
  <c r="BF5" i="1"/>
  <c r="BA5" i="1"/>
  <c r="BB5" i="1" s="1"/>
  <c r="AY5" i="1"/>
  <c r="BJ5" i="1" s="1"/>
  <c r="AT5" i="1"/>
  <c r="AO5" i="1"/>
  <c r="AP5" i="1" s="1"/>
  <c r="AQ5" i="1" s="1"/>
  <c r="AS5" i="1" s="1"/>
  <c r="AU5" i="1" s="1"/>
  <c r="AJ5" i="1"/>
  <c r="AE5" i="1"/>
  <c r="AF5" i="1" s="1"/>
  <c r="AG5" i="1" s="1"/>
  <c r="AI5" i="1" s="1"/>
  <c r="AK5" i="1" s="1"/>
  <c r="G5" i="1"/>
  <c r="L5" i="1" s="1"/>
  <c r="BM4" i="1"/>
  <c r="BK4" i="1"/>
  <c r="BF4" i="1"/>
  <c r="BA4" i="1"/>
  <c r="AY4" i="1"/>
  <c r="BJ4" i="1" s="1"/>
  <c r="AT4" i="1"/>
  <c r="AO4" i="1"/>
  <c r="AP4" i="1" s="1"/>
  <c r="AQ4" i="1" s="1"/>
  <c r="AS4" i="1" s="1"/>
  <c r="AU4" i="1" s="1"/>
  <c r="AJ4" i="1"/>
  <c r="AE4" i="1"/>
  <c r="AF4" i="1" s="1"/>
  <c r="AG4" i="1" s="1"/>
  <c r="AI4" i="1" s="1"/>
  <c r="AK4" i="1" s="1"/>
  <c r="G4" i="1"/>
  <c r="L4" i="1" s="1"/>
  <c r="BM3" i="1"/>
  <c r="BK3" i="1"/>
  <c r="BF3" i="1"/>
  <c r="BA3" i="1"/>
  <c r="BB3" i="1" s="1"/>
  <c r="BC3" i="1" s="1"/>
  <c r="BD3" i="1" s="1"/>
  <c r="BL3" i="1" s="1"/>
  <c r="AY3" i="1"/>
  <c r="BJ3" i="1" s="1"/>
  <c r="AT3" i="1"/>
  <c r="AO3" i="1"/>
  <c r="AP3" i="1" s="1"/>
  <c r="AQ3" i="1" s="1"/>
  <c r="AS3" i="1" s="1"/>
  <c r="AU3" i="1" s="1"/>
  <c r="AJ3" i="1"/>
  <c r="AE3" i="1"/>
  <c r="AF3" i="1" s="1"/>
  <c r="AG3" i="1" s="1"/>
  <c r="AI3" i="1" s="1"/>
  <c r="AK3" i="1" s="1"/>
  <c r="G3" i="1"/>
  <c r="L3" i="1" s="1"/>
  <c r="BM2" i="1"/>
  <c r="BK2" i="1"/>
  <c r="BF2" i="1"/>
  <c r="BG2" i="1" s="1"/>
  <c r="BH2" i="1" s="1"/>
  <c r="BI2" i="1" s="1"/>
  <c r="BN2" i="1" s="1"/>
  <c r="BA2" i="1"/>
  <c r="AY2" i="1"/>
  <c r="BJ2" i="1" s="1"/>
  <c r="AT2" i="1"/>
  <c r="AO2" i="1"/>
  <c r="AP2" i="1" s="1"/>
  <c r="AQ2" i="1" s="1"/>
  <c r="AS2" i="1" s="1"/>
  <c r="AU2" i="1" s="1"/>
  <c r="AJ2" i="1"/>
  <c r="AE2" i="1"/>
  <c r="AF2" i="1" s="1"/>
  <c r="AG2" i="1" s="1"/>
  <c r="AI2" i="1" s="1"/>
  <c r="AK2" i="1" s="1"/>
  <c r="K2" i="1"/>
  <c r="I2" i="1"/>
  <c r="AA457" i="2"/>
  <c r="W457" i="2"/>
  <c r="Q457" i="2"/>
  <c r="R457" i="2" s="1"/>
  <c r="S457" i="2" s="1"/>
  <c r="T457" i="2" s="1"/>
  <c r="U457" i="2" s="1"/>
  <c r="I457" i="2"/>
  <c r="AA456" i="2"/>
  <c r="W456" i="2"/>
  <c r="X456" i="2" s="1"/>
  <c r="Y456" i="2" s="1"/>
  <c r="Q456" i="2"/>
  <c r="R456" i="2" s="1"/>
  <c r="S456" i="2" s="1"/>
  <c r="T456" i="2" s="1"/>
  <c r="U456" i="2" s="1"/>
  <c r="I456" i="2"/>
  <c r="AA455" i="2"/>
  <c r="W455" i="2"/>
  <c r="X455" i="2" s="1"/>
  <c r="Q455" i="2"/>
  <c r="R455" i="2" s="1"/>
  <c r="S455" i="2" s="1"/>
  <c r="T455" i="2" s="1"/>
  <c r="U455" i="2" s="1"/>
  <c r="I455" i="2"/>
  <c r="AA454" i="2"/>
  <c r="W454" i="2"/>
  <c r="Q454" i="2"/>
  <c r="R454" i="2" s="1"/>
  <c r="S454" i="2" s="1"/>
  <c r="T454" i="2" s="1"/>
  <c r="U454" i="2" s="1"/>
  <c r="I454" i="2"/>
  <c r="AA453" i="2"/>
  <c r="W453" i="2"/>
  <c r="Q453" i="2"/>
  <c r="R453" i="2" s="1"/>
  <c r="S453" i="2" s="1"/>
  <c r="T453" i="2" s="1"/>
  <c r="U453" i="2" s="1"/>
  <c r="I453" i="2"/>
  <c r="AA452" i="2"/>
  <c r="W452" i="2"/>
  <c r="Q452" i="2"/>
  <c r="R452" i="2" s="1"/>
  <c r="S452" i="2" s="1"/>
  <c r="T452" i="2" s="1"/>
  <c r="U452" i="2" s="1"/>
  <c r="I452" i="2"/>
  <c r="AA451" i="2"/>
  <c r="W451" i="2"/>
  <c r="X451" i="2" s="1"/>
  <c r="Q451" i="2"/>
  <c r="R451" i="2" s="1"/>
  <c r="S451" i="2" s="1"/>
  <c r="T451" i="2" s="1"/>
  <c r="U451" i="2" s="1"/>
  <c r="I451" i="2"/>
  <c r="AA450" i="2"/>
  <c r="W450" i="2"/>
  <c r="X450" i="2" s="1"/>
  <c r="Q450" i="2"/>
  <c r="R450" i="2" s="1"/>
  <c r="S450" i="2" s="1"/>
  <c r="T450" i="2" s="1"/>
  <c r="U450" i="2" s="1"/>
  <c r="I450" i="2"/>
  <c r="AA449" i="2"/>
  <c r="W449" i="2"/>
  <c r="Q449" i="2"/>
  <c r="R449" i="2" s="1"/>
  <c r="S449" i="2" s="1"/>
  <c r="T449" i="2" s="1"/>
  <c r="U449" i="2" s="1"/>
  <c r="I449" i="2"/>
  <c r="AA448" i="2"/>
  <c r="W448" i="2"/>
  <c r="X448" i="2" s="1"/>
  <c r="Q448" i="2"/>
  <c r="R448" i="2" s="1"/>
  <c r="S448" i="2" s="1"/>
  <c r="T448" i="2" s="1"/>
  <c r="U448" i="2" s="1"/>
  <c r="I448" i="2"/>
  <c r="AA447" i="2"/>
  <c r="W447" i="2"/>
  <c r="X447" i="2" s="1"/>
  <c r="Q447" i="2"/>
  <c r="R447" i="2" s="1"/>
  <c r="S447" i="2" s="1"/>
  <c r="T447" i="2" s="1"/>
  <c r="U447" i="2" s="1"/>
  <c r="I447" i="2"/>
  <c r="AA446" i="2"/>
  <c r="W446" i="2"/>
  <c r="X446" i="2" s="1"/>
  <c r="Q446" i="2"/>
  <c r="R446" i="2" s="1"/>
  <c r="S446" i="2" s="1"/>
  <c r="T446" i="2" s="1"/>
  <c r="U446" i="2" s="1"/>
  <c r="I446" i="2"/>
  <c r="AA445" i="2"/>
  <c r="W445" i="2"/>
  <c r="Q445" i="2"/>
  <c r="R445" i="2" s="1"/>
  <c r="S445" i="2" s="1"/>
  <c r="T445" i="2" s="1"/>
  <c r="U445" i="2" s="1"/>
  <c r="I445" i="2"/>
  <c r="AA444" i="2"/>
  <c r="W444" i="2"/>
  <c r="X444" i="2" s="1"/>
  <c r="Y444" i="2" s="1"/>
  <c r="Q444" i="2"/>
  <c r="R444" i="2" s="1"/>
  <c r="S444" i="2" s="1"/>
  <c r="T444" i="2" s="1"/>
  <c r="U444" i="2" s="1"/>
  <c r="I444" i="2"/>
  <c r="AA443" i="2"/>
  <c r="W443" i="2"/>
  <c r="X443" i="2" s="1"/>
  <c r="Q443" i="2"/>
  <c r="R443" i="2" s="1"/>
  <c r="S443" i="2" s="1"/>
  <c r="T443" i="2" s="1"/>
  <c r="U443" i="2" s="1"/>
  <c r="I443" i="2"/>
  <c r="AA442" i="2"/>
  <c r="W442" i="2"/>
  <c r="X442" i="2" s="1"/>
  <c r="Y442" i="2" s="1"/>
  <c r="Q442" i="2"/>
  <c r="R442" i="2" s="1"/>
  <c r="S442" i="2" s="1"/>
  <c r="T442" i="2" s="1"/>
  <c r="U442" i="2" s="1"/>
  <c r="I442" i="2"/>
  <c r="AA441" i="2"/>
  <c r="W441" i="2"/>
  <c r="Q441" i="2"/>
  <c r="R441" i="2" s="1"/>
  <c r="S441" i="2" s="1"/>
  <c r="T441" i="2" s="1"/>
  <c r="U441" i="2" s="1"/>
  <c r="I441" i="2"/>
  <c r="AA440" i="2"/>
  <c r="W440" i="2"/>
  <c r="X440" i="2" s="1"/>
  <c r="Y440" i="2" s="1"/>
  <c r="Q440" i="2"/>
  <c r="R440" i="2" s="1"/>
  <c r="S440" i="2" s="1"/>
  <c r="T440" i="2" s="1"/>
  <c r="U440" i="2" s="1"/>
  <c r="I440" i="2"/>
  <c r="AA439" i="2"/>
  <c r="W439" i="2"/>
  <c r="Q439" i="2"/>
  <c r="R439" i="2" s="1"/>
  <c r="S439" i="2" s="1"/>
  <c r="T439" i="2" s="1"/>
  <c r="U439" i="2" s="1"/>
  <c r="I439" i="2"/>
  <c r="AA438" i="2"/>
  <c r="W438" i="2"/>
  <c r="X438" i="2" s="1"/>
  <c r="Y438" i="2" s="1"/>
  <c r="Q438" i="2"/>
  <c r="R438" i="2" s="1"/>
  <c r="S438" i="2" s="1"/>
  <c r="T438" i="2" s="1"/>
  <c r="U438" i="2" s="1"/>
  <c r="I438" i="2"/>
  <c r="AA437" i="2"/>
  <c r="W437" i="2"/>
  <c r="Q437" i="2"/>
  <c r="R437" i="2" s="1"/>
  <c r="S437" i="2" s="1"/>
  <c r="T437" i="2" s="1"/>
  <c r="U437" i="2" s="1"/>
  <c r="I437" i="2"/>
  <c r="AA436" i="2"/>
  <c r="W436" i="2"/>
  <c r="X436" i="2" s="1"/>
  <c r="Y436" i="2" s="1"/>
  <c r="Q436" i="2"/>
  <c r="R436" i="2" s="1"/>
  <c r="S436" i="2" s="1"/>
  <c r="T436" i="2" s="1"/>
  <c r="U436" i="2" s="1"/>
  <c r="I436" i="2"/>
  <c r="AA435" i="2"/>
  <c r="W435" i="2"/>
  <c r="Q435" i="2"/>
  <c r="R435" i="2" s="1"/>
  <c r="S435" i="2" s="1"/>
  <c r="T435" i="2" s="1"/>
  <c r="U435" i="2" s="1"/>
  <c r="I435" i="2"/>
  <c r="AA434" i="2"/>
  <c r="W434" i="2"/>
  <c r="X434" i="2" s="1"/>
  <c r="Y434" i="2" s="1"/>
  <c r="Q434" i="2"/>
  <c r="R434" i="2" s="1"/>
  <c r="S434" i="2" s="1"/>
  <c r="T434" i="2" s="1"/>
  <c r="U434" i="2" s="1"/>
  <c r="I434" i="2"/>
  <c r="AA433" i="2"/>
  <c r="W433" i="2"/>
  <c r="Q433" i="2"/>
  <c r="R433" i="2" s="1"/>
  <c r="S433" i="2" s="1"/>
  <c r="T433" i="2" s="1"/>
  <c r="U433" i="2" s="1"/>
  <c r="I433" i="2"/>
  <c r="AA432" i="2"/>
  <c r="W432" i="2"/>
  <c r="X432" i="2" s="1"/>
  <c r="Y432" i="2" s="1"/>
  <c r="Q432" i="2"/>
  <c r="R432" i="2" s="1"/>
  <c r="S432" i="2" s="1"/>
  <c r="T432" i="2" s="1"/>
  <c r="U432" i="2" s="1"/>
  <c r="I432" i="2"/>
  <c r="AA431" i="2"/>
  <c r="W431" i="2"/>
  <c r="X431" i="2" s="1"/>
  <c r="Q431" i="2"/>
  <c r="R431" i="2" s="1"/>
  <c r="S431" i="2" s="1"/>
  <c r="T431" i="2" s="1"/>
  <c r="U431" i="2" s="1"/>
  <c r="I431" i="2"/>
  <c r="AA430" i="2"/>
  <c r="W430" i="2"/>
  <c r="X430" i="2" s="1"/>
  <c r="Y430" i="2" s="1"/>
  <c r="Q430" i="2"/>
  <c r="R430" i="2" s="1"/>
  <c r="S430" i="2" s="1"/>
  <c r="T430" i="2" s="1"/>
  <c r="U430" i="2" s="1"/>
  <c r="I430" i="2"/>
  <c r="AA429" i="2"/>
  <c r="W429" i="2"/>
  <c r="Q429" i="2"/>
  <c r="R429" i="2" s="1"/>
  <c r="S429" i="2" s="1"/>
  <c r="T429" i="2" s="1"/>
  <c r="U429" i="2" s="1"/>
  <c r="I429" i="2"/>
  <c r="AA428" i="2"/>
  <c r="W428" i="2"/>
  <c r="X428" i="2" s="1"/>
  <c r="Y428" i="2" s="1"/>
  <c r="Q428" i="2"/>
  <c r="R428" i="2" s="1"/>
  <c r="S428" i="2" s="1"/>
  <c r="T428" i="2" s="1"/>
  <c r="U428" i="2" s="1"/>
  <c r="I428" i="2"/>
  <c r="AA427" i="2"/>
  <c r="W427" i="2"/>
  <c r="Q427" i="2"/>
  <c r="R427" i="2" s="1"/>
  <c r="S427" i="2" s="1"/>
  <c r="T427" i="2" s="1"/>
  <c r="U427" i="2" s="1"/>
  <c r="I427" i="2"/>
  <c r="AA426" i="2"/>
  <c r="W426" i="2"/>
  <c r="X426" i="2" s="1"/>
  <c r="Y426" i="2" s="1"/>
  <c r="Q426" i="2"/>
  <c r="R426" i="2" s="1"/>
  <c r="S426" i="2" s="1"/>
  <c r="T426" i="2" s="1"/>
  <c r="U426" i="2" s="1"/>
  <c r="I426" i="2"/>
  <c r="AA425" i="2"/>
  <c r="W425" i="2"/>
  <c r="Q425" i="2"/>
  <c r="R425" i="2" s="1"/>
  <c r="S425" i="2" s="1"/>
  <c r="T425" i="2" s="1"/>
  <c r="U425" i="2" s="1"/>
  <c r="I425" i="2"/>
  <c r="AA424" i="2"/>
  <c r="W424" i="2"/>
  <c r="X424" i="2" s="1"/>
  <c r="Y424" i="2" s="1"/>
  <c r="Q424" i="2"/>
  <c r="R424" i="2" s="1"/>
  <c r="S424" i="2" s="1"/>
  <c r="T424" i="2" s="1"/>
  <c r="U424" i="2" s="1"/>
  <c r="I424" i="2"/>
  <c r="AA423" i="2"/>
  <c r="W423" i="2"/>
  <c r="X423" i="2" s="1"/>
  <c r="Q423" i="2"/>
  <c r="R423" i="2" s="1"/>
  <c r="S423" i="2" s="1"/>
  <c r="T423" i="2" s="1"/>
  <c r="U423" i="2" s="1"/>
  <c r="I423" i="2"/>
  <c r="AA422" i="2"/>
  <c r="W422" i="2"/>
  <c r="X422" i="2" s="1"/>
  <c r="Y422" i="2" s="1"/>
  <c r="T422" i="2"/>
  <c r="U422" i="2" s="1"/>
  <c r="Q422" i="2"/>
  <c r="R422" i="2" s="1"/>
  <c r="S422" i="2" s="1"/>
  <c r="AA421" i="2"/>
  <c r="W421" i="2"/>
  <c r="X421" i="2" s="1"/>
  <c r="Y421" i="2" s="1"/>
  <c r="Q421" i="2"/>
  <c r="R421" i="2" s="1"/>
  <c r="S421" i="2" s="1"/>
  <c r="T421" i="2" s="1"/>
  <c r="U421" i="2" s="1"/>
  <c r="I421" i="2"/>
  <c r="AA420" i="2"/>
  <c r="W420" i="2"/>
  <c r="X420" i="2" s="1"/>
  <c r="Y420" i="2" s="1"/>
  <c r="Q420" i="2"/>
  <c r="R420" i="2" s="1"/>
  <c r="S420" i="2" s="1"/>
  <c r="T420" i="2" s="1"/>
  <c r="U420" i="2" s="1"/>
  <c r="I420" i="2"/>
  <c r="AA419" i="2"/>
  <c r="W419" i="2"/>
  <c r="X419" i="2" s="1"/>
  <c r="Y419" i="2" s="1"/>
  <c r="Q419" i="2"/>
  <c r="R419" i="2" s="1"/>
  <c r="S419" i="2" s="1"/>
  <c r="T419" i="2" s="1"/>
  <c r="U419" i="2" s="1"/>
  <c r="I419" i="2"/>
  <c r="AA418" i="2"/>
  <c r="W418" i="2"/>
  <c r="Q418" i="2"/>
  <c r="R418" i="2" s="1"/>
  <c r="S418" i="2" s="1"/>
  <c r="T418" i="2" s="1"/>
  <c r="U418" i="2" s="1"/>
  <c r="I418" i="2"/>
  <c r="AA417" i="2"/>
  <c r="W417" i="2"/>
  <c r="X417" i="2" s="1"/>
  <c r="Y417" i="2" s="1"/>
  <c r="Q417" i="2"/>
  <c r="R417" i="2" s="1"/>
  <c r="S417" i="2" s="1"/>
  <c r="T417" i="2" s="1"/>
  <c r="U417" i="2" s="1"/>
  <c r="I417" i="2"/>
  <c r="AA416" i="2"/>
  <c r="W416" i="2"/>
  <c r="Q416" i="2"/>
  <c r="R416" i="2" s="1"/>
  <c r="S416" i="2" s="1"/>
  <c r="T416" i="2" s="1"/>
  <c r="U416" i="2" s="1"/>
  <c r="I416" i="2"/>
  <c r="AA415" i="2"/>
  <c r="W415" i="2"/>
  <c r="X415" i="2" s="1"/>
  <c r="Y415" i="2" s="1"/>
  <c r="Q415" i="2"/>
  <c r="R415" i="2" s="1"/>
  <c r="S415" i="2" s="1"/>
  <c r="T415" i="2" s="1"/>
  <c r="U415" i="2" s="1"/>
  <c r="I415" i="2"/>
  <c r="AA414" i="2"/>
  <c r="W414" i="2"/>
  <c r="X414" i="2" s="1"/>
  <c r="Q414" i="2"/>
  <c r="R414" i="2" s="1"/>
  <c r="S414" i="2" s="1"/>
  <c r="T414" i="2" s="1"/>
  <c r="U414" i="2" s="1"/>
  <c r="I414" i="2"/>
  <c r="AA413" i="2"/>
  <c r="W413" i="2"/>
  <c r="X413" i="2" s="1"/>
  <c r="Y413" i="2" s="1"/>
  <c r="Q413" i="2"/>
  <c r="R413" i="2" s="1"/>
  <c r="S413" i="2" s="1"/>
  <c r="T413" i="2" s="1"/>
  <c r="U413" i="2" s="1"/>
  <c r="I413" i="2"/>
  <c r="AA412" i="2"/>
  <c r="W412" i="2"/>
  <c r="X412" i="2" s="1"/>
  <c r="Q412" i="2"/>
  <c r="R412" i="2" s="1"/>
  <c r="S412" i="2" s="1"/>
  <c r="T412" i="2" s="1"/>
  <c r="U412" i="2" s="1"/>
  <c r="I412" i="2"/>
  <c r="AA411" i="2"/>
  <c r="W411" i="2"/>
  <c r="Q411" i="2"/>
  <c r="R411" i="2" s="1"/>
  <c r="S411" i="2" s="1"/>
  <c r="T411" i="2" s="1"/>
  <c r="U411" i="2" s="1"/>
  <c r="I411" i="2"/>
  <c r="AA410" i="2"/>
  <c r="W410" i="2"/>
  <c r="X410" i="2" s="1"/>
  <c r="Y410" i="2" s="1"/>
  <c r="Q410" i="2"/>
  <c r="R410" i="2" s="1"/>
  <c r="S410" i="2" s="1"/>
  <c r="T410" i="2" s="1"/>
  <c r="U410" i="2" s="1"/>
  <c r="I410" i="2"/>
  <c r="AA409" i="2"/>
  <c r="W409" i="2"/>
  <c r="X409" i="2" s="1"/>
  <c r="Y409" i="2" s="1"/>
  <c r="Q409" i="2"/>
  <c r="R409" i="2" s="1"/>
  <c r="S409" i="2" s="1"/>
  <c r="T409" i="2" s="1"/>
  <c r="U409" i="2" s="1"/>
  <c r="I409" i="2"/>
  <c r="AA408" i="2"/>
  <c r="W408" i="2"/>
  <c r="X408" i="2" s="1"/>
  <c r="Q408" i="2"/>
  <c r="R408" i="2" s="1"/>
  <c r="S408" i="2" s="1"/>
  <c r="T408" i="2" s="1"/>
  <c r="U408" i="2" s="1"/>
  <c r="I408" i="2"/>
  <c r="AA407" i="2"/>
  <c r="W407" i="2"/>
  <c r="X407" i="2" s="1"/>
  <c r="Y407" i="2" s="1"/>
  <c r="Q407" i="2"/>
  <c r="R407" i="2" s="1"/>
  <c r="S407" i="2" s="1"/>
  <c r="T407" i="2" s="1"/>
  <c r="U407" i="2" s="1"/>
  <c r="I407" i="2"/>
  <c r="AA406" i="2"/>
  <c r="W406" i="2"/>
  <c r="T406" i="2"/>
  <c r="U406" i="2" s="1"/>
  <c r="Q406" i="2"/>
  <c r="R406" i="2" s="1"/>
  <c r="S406" i="2" s="1"/>
  <c r="AA405" i="2"/>
  <c r="W405" i="2"/>
  <c r="X405" i="2" s="1"/>
  <c r="Q405" i="2"/>
  <c r="R405" i="2" s="1"/>
  <c r="S405" i="2" s="1"/>
  <c r="T405" i="2" s="1"/>
  <c r="U405" i="2" s="1"/>
  <c r="I405" i="2"/>
  <c r="AA404" i="2"/>
  <c r="W404" i="2"/>
  <c r="Q404" i="2"/>
  <c r="R404" i="2" s="1"/>
  <c r="S404" i="2" s="1"/>
  <c r="T404" i="2" s="1"/>
  <c r="U404" i="2" s="1"/>
  <c r="I404" i="2"/>
  <c r="AA403" i="2"/>
  <c r="W403" i="2"/>
  <c r="Q403" i="2"/>
  <c r="R403" i="2" s="1"/>
  <c r="S403" i="2" s="1"/>
  <c r="T403" i="2" s="1"/>
  <c r="U403" i="2" s="1"/>
  <c r="I403" i="2"/>
  <c r="AA402" i="2"/>
  <c r="W402" i="2"/>
  <c r="X402" i="2" s="1"/>
  <c r="Y402" i="2" s="1"/>
  <c r="Q402" i="2"/>
  <c r="R402" i="2" s="1"/>
  <c r="S402" i="2" s="1"/>
  <c r="T402" i="2" s="1"/>
  <c r="U402" i="2" s="1"/>
  <c r="I402" i="2"/>
  <c r="AA401" i="2"/>
  <c r="W401" i="2"/>
  <c r="Q401" i="2"/>
  <c r="R401" i="2" s="1"/>
  <c r="S401" i="2" s="1"/>
  <c r="T401" i="2" s="1"/>
  <c r="U401" i="2" s="1"/>
  <c r="I401" i="2"/>
  <c r="AA400" i="2"/>
  <c r="W400" i="2"/>
  <c r="Q400" i="2"/>
  <c r="R400" i="2" s="1"/>
  <c r="S400" i="2" s="1"/>
  <c r="T400" i="2" s="1"/>
  <c r="U400" i="2" s="1"/>
  <c r="I400" i="2"/>
  <c r="AA399" i="2"/>
  <c r="W399" i="2"/>
  <c r="X399" i="2" s="1"/>
  <c r="Q399" i="2"/>
  <c r="R399" i="2" s="1"/>
  <c r="S399" i="2" s="1"/>
  <c r="T399" i="2" s="1"/>
  <c r="U399" i="2" s="1"/>
  <c r="I399" i="2"/>
  <c r="AA398" i="2"/>
  <c r="W398" i="2"/>
  <c r="Q398" i="2"/>
  <c r="R398" i="2" s="1"/>
  <c r="S398" i="2" s="1"/>
  <c r="T398" i="2" s="1"/>
  <c r="U398" i="2" s="1"/>
  <c r="I398" i="2"/>
  <c r="AA397" i="2"/>
  <c r="W397" i="2"/>
  <c r="Q397" i="2"/>
  <c r="R397" i="2" s="1"/>
  <c r="S397" i="2" s="1"/>
  <c r="T397" i="2" s="1"/>
  <c r="U397" i="2" s="1"/>
  <c r="I397" i="2"/>
  <c r="AA396" i="2"/>
  <c r="W396" i="2"/>
  <c r="Q396" i="2"/>
  <c r="R396" i="2" s="1"/>
  <c r="S396" i="2" s="1"/>
  <c r="T396" i="2" s="1"/>
  <c r="U396" i="2" s="1"/>
  <c r="I396" i="2"/>
  <c r="AA395" i="2"/>
  <c r="W395" i="2"/>
  <c r="X395" i="2" s="1"/>
  <c r="Y395" i="2" s="1"/>
  <c r="Q395" i="2"/>
  <c r="R395" i="2" s="1"/>
  <c r="S395" i="2" s="1"/>
  <c r="T395" i="2" s="1"/>
  <c r="U395" i="2" s="1"/>
  <c r="I395" i="2"/>
  <c r="AA394" i="2"/>
  <c r="W394" i="2"/>
  <c r="Q394" i="2"/>
  <c r="R394" i="2" s="1"/>
  <c r="S394" i="2" s="1"/>
  <c r="T394" i="2" s="1"/>
  <c r="U394" i="2" s="1"/>
  <c r="I394" i="2"/>
  <c r="AA393" i="2"/>
  <c r="W393" i="2"/>
  <c r="X393" i="2" s="1"/>
  <c r="Q393" i="2"/>
  <c r="R393" i="2" s="1"/>
  <c r="S393" i="2" s="1"/>
  <c r="T393" i="2" s="1"/>
  <c r="U393" i="2" s="1"/>
  <c r="I393" i="2"/>
  <c r="AA392" i="2"/>
  <c r="W392" i="2"/>
  <c r="X392" i="2" s="1"/>
  <c r="Y392" i="2" s="1"/>
  <c r="Q392" i="2"/>
  <c r="R392" i="2" s="1"/>
  <c r="S392" i="2" s="1"/>
  <c r="T392" i="2" s="1"/>
  <c r="U392" i="2" s="1"/>
  <c r="I392" i="2"/>
  <c r="AA391" i="2"/>
  <c r="W391" i="2"/>
  <c r="Q391" i="2"/>
  <c r="R391" i="2" s="1"/>
  <c r="S391" i="2" s="1"/>
  <c r="T391" i="2" s="1"/>
  <c r="U391" i="2" s="1"/>
  <c r="I391" i="2"/>
  <c r="AA390" i="2"/>
  <c r="W390" i="2"/>
  <c r="X390" i="2" s="1"/>
  <c r="Q390" i="2"/>
  <c r="R390" i="2" s="1"/>
  <c r="S390" i="2" s="1"/>
  <c r="T390" i="2" s="1"/>
  <c r="U390" i="2" s="1"/>
  <c r="I390" i="2"/>
  <c r="AA389" i="2"/>
  <c r="W389" i="2"/>
  <c r="Q389" i="2"/>
  <c r="R389" i="2" s="1"/>
  <c r="S389" i="2" s="1"/>
  <c r="T389" i="2" s="1"/>
  <c r="U389" i="2" s="1"/>
  <c r="I389" i="2"/>
  <c r="AA388" i="2"/>
  <c r="W388" i="2"/>
  <c r="X388" i="2" s="1"/>
  <c r="Q388" i="2"/>
  <c r="R388" i="2" s="1"/>
  <c r="S388" i="2" s="1"/>
  <c r="T388" i="2" s="1"/>
  <c r="U388" i="2" s="1"/>
  <c r="I388" i="2"/>
  <c r="AA387" i="2"/>
  <c r="W387" i="2"/>
  <c r="X387" i="2" s="1"/>
  <c r="Q387" i="2"/>
  <c r="R387" i="2" s="1"/>
  <c r="S387" i="2" s="1"/>
  <c r="T387" i="2" s="1"/>
  <c r="U387" i="2" s="1"/>
  <c r="I387" i="2"/>
  <c r="AA386" i="2"/>
  <c r="W386" i="2"/>
  <c r="X386" i="2" s="1"/>
  <c r="Q386" i="2"/>
  <c r="R386" i="2" s="1"/>
  <c r="S386" i="2" s="1"/>
  <c r="T386" i="2" s="1"/>
  <c r="U386" i="2" s="1"/>
  <c r="I386" i="2"/>
  <c r="AA385" i="2"/>
  <c r="W385" i="2"/>
  <c r="Q385" i="2"/>
  <c r="R385" i="2" s="1"/>
  <c r="S385" i="2" s="1"/>
  <c r="T385" i="2" s="1"/>
  <c r="U385" i="2" s="1"/>
  <c r="I385" i="2"/>
  <c r="AA384" i="2"/>
  <c r="W384" i="2"/>
  <c r="X384" i="2" s="1"/>
  <c r="Y384" i="2" s="1"/>
  <c r="Q384" i="2"/>
  <c r="R384" i="2" s="1"/>
  <c r="S384" i="2" s="1"/>
  <c r="T384" i="2" s="1"/>
  <c r="U384" i="2" s="1"/>
  <c r="I384" i="2"/>
  <c r="AA383" i="2"/>
  <c r="W383" i="2"/>
  <c r="X383" i="2" s="1"/>
  <c r="Y383" i="2" s="1"/>
  <c r="Q383" i="2"/>
  <c r="R383" i="2" s="1"/>
  <c r="S383" i="2" s="1"/>
  <c r="T383" i="2" s="1"/>
  <c r="U383" i="2" s="1"/>
  <c r="I383" i="2"/>
  <c r="AA382" i="2"/>
  <c r="W382" i="2"/>
  <c r="Q382" i="2"/>
  <c r="R382" i="2" s="1"/>
  <c r="S382" i="2" s="1"/>
  <c r="T382" i="2" s="1"/>
  <c r="U382" i="2" s="1"/>
  <c r="I382" i="2"/>
  <c r="AA381" i="2"/>
  <c r="W381" i="2"/>
  <c r="X381" i="2" s="1"/>
  <c r="Q381" i="2"/>
  <c r="R381" i="2" s="1"/>
  <c r="S381" i="2" s="1"/>
  <c r="T381" i="2" s="1"/>
  <c r="U381" i="2" s="1"/>
  <c r="I381" i="2"/>
  <c r="AA380" i="2"/>
  <c r="W380" i="2"/>
  <c r="X380" i="2" s="1"/>
  <c r="Y380" i="2" s="1"/>
  <c r="Q380" i="2"/>
  <c r="R380" i="2" s="1"/>
  <c r="S380" i="2" s="1"/>
  <c r="T380" i="2" s="1"/>
  <c r="U380" i="2" s="1"/>
  <c r="I380" i="2"/>
  <c r="AA379" i="2"/>
  <c r="W379" i="2"/>
  <c r="X379" i="2" s="1"/>
  <c r="Y379" i="2" s="1"/>
  <c r="Q379" i="2"/>
  <c r="R379" i="2" s="1"/>
  <c r="S379" i="2" s="1"/>
  <c r="T379" i="2" s="1"/>
  <c r="U379" i="2" s="1"/>
  <c r="I379" i="2"/>
  <c r="AA378" i="2"/>
  <c r="W378" i="2"/>
  <c r="Q378" i="2"/>
  <c r="R378" i="2" s="1"/>
  <c r="S378" i="2" s="1"/>
  <c r="T378" i="2" s="1"/>
  <c r="U378" i="2" s="1"/>
  <c r="I378" i="2"/>
  <c r="AA377" i="2"/>
  <c r="W377" i="2"/>
  <c r="Q377" i="2"/>
  <c r="R377" i="2" s="1"/>
  <c r="S377" i="2" s="1"/>
  <c r="T377" i="2" s="1"/>
  <c r="U377" i="2" s="1"/>
  <c r="I377" i="2"/>
  <c r="AA376" i="2"/>
  <c r="W376" i="2"/>
  <c r="X376" i="2" s="1"/>
  <c r="Y376" i="2" s="1"/>
  <c r="Q376" i="2"/>
  <c r="R376" i="2" s="1"/>
  <c r="S376" i="2" s="1"/>
  <c r="T376" i="2" s="1"/>
  <c r="U376" i="2" s="1"/>
  <c r="I376" i="2"/>
  <c r="AA375" i="2"/>
  <c r="W375" i="2"/>
  <c r="Q375" i="2"/>
  <c r="R375" i="2" s="1"/>
  <c r="S375" i="2" s="1"/>
  <c r="T375" i="2" s="1"/>
  <c r="U375" i="2" s="1"/>
  <c r="I375" i="2"/>
  <c r="AA374" i="2"/>
  <c r="W374" i="2"/>
  <c r="X374" i="2" s="1"/>
  <c r="Q374" i="2"/>
  <c r="R374" i="2" s="1"/>
  <c r="S374" i="2" s="1"/>
  <c r="T374" i="2" s="1"/>
  <c r="U374" i="2" s="1"/>
  <c r="I374" i="2"/>
  <c r="AA373" i="2"/>
  <c r="W373" i="2"/>
  <c r="Q373" i="2"/>
  <c r="R373" i="2" s="1"/>
  <c r="S373" i="2" s="1"/>
  <c r="T373" i="2" s="1"/>
  <c r="U373" i="2" s="1"/>
  <c r="I373" i="2"/>
  <c r="AA372" i="2"/>
  <c r="W372" i="2"/>
  <c r="Q372" i="2"/>
  <c r="R372" i="2" s="1"/>
  <c r="S372" i="2" s="1"/>
  <c r="T372" i="2" s="1"/>
  <c r="U372" i="2" s="1"/>
  <c r="I372" i="2"/>
  <c r="AA371" i="2"/>
  <c r="W371" i="2"/>
  <c r="Q371" i="2"/>
  <c r="R371" i="2" s="1"/>
  <c r="S371" i="2" s="1"/>
  <c r="T371" i="2" s="1"/>
  <c r="U371" i="2" s="1"/>
  <c r="I371" i="2"/>
  <c r="AA370" i="2"/>
  <c r="W370" i="2"/>
  <c r="X370" i="2" s="1"/>
  <c r="Q370" i="2"/>
  <c r="R370" i="2" s="1"/>
  <c r="S370" i="2" s="1"/>
  <c r="T370" i="2" s="1"/>
  <c r="U370" i="2" s="1"/>
  <c r="I370" i="2"/>
  <c r="AA369" i="2"/>
  <c r="W369" i="2"/>
  <c r="X369" i="2" s="1"/>
  <c r="Y369" i="2" s="1"/>
  <c r="Q369" i="2"/>
  <c r="R369" i="2" s="1"/>
  <c r="S369" i="2" s="1"/>
  <c r="T369" i="2" s="1"/>
  <c r="U369" i="2" s="1"/>
  <c r="I369" i="2"/>
  <c r="AA368" i="2"/>
  <c r="W368" i="2"/>
  <c r="X368" i="2" s="1"/>
  <c r="Q368" i="2"/>
  <c r="R368" i="2" s="1"/>
  <c r="S368" i="2" s="1"/>
  <c r="T368" i="2" s="1"/>
  <c r="U368" i="2" s="1"/>
  <c r="I368" i="2"/>
  <c r="AA367" i="2"/>
  <c r="W367" i="2"/>
  <c r="X367" i="2" s="1"/>
  <c r="Y367" i="2" s="1"/>
  <c r="Q367" i="2"/>
  <c r="R367" i="2" s="1"/>
  <c r="S367" i="2" s="1"/>
  <c r="T367" i="2" s="1"/>
  <c r="U367" i="2" s="1"/>
  <c r="I367" i="2"/>
  <c r="AA366" i="2"/>
  <c r="W366" i="2"/>
  <c r="X366" i="2" s="1"/>
  <c r="Y366" i="2" s="1"/>
  <c r="Q366" i="2"/>
  <c r="R366" i="2" s="1"/>
  <c r="S366" i="2" s="1"/>
  <c r="T366" i="2" s="1"/>
  <c r="U366" i="2" s="1"/>
  <c r="I366" i="2"/>
  <c r="AA365" i="2"/>
  <c r="W365" i="2"/>
  <c r="X365" i="2" s="1"/>
  <c r="Y365" i="2" s="1"/>
  <c r="Q365" i="2"/>
  <c r="R365" i="2" s="1"/>
  <c r="S365" i="2" s="1"/>
  <c r="T365" i="2" s="1"/>
  <c r="U365" i="2" s="1"/>
  <c r="I365" i="2"/>
  <c r="AA364" i="2"/>
  <c r="W364" i="2"/>
  <c r="X364" i="2" s="1"/>
  <c r="Y364" i="2" s="1"/>
  <c r="Q364" i="2"/>
  <c r="R364" i="2" s="1"/>
  <c r="S364" i="2" s="1"/>
  <c r="T364" i="2" s="1"/>
  <c r="U364" i="2" s="1"/>
  <c r="I364" i="2"/>
  <c r="AA363" i="2"/>
  <c r="W363" i="2"/>
  <c r="X363" i="2" s="1"/>
  <c r="Y363" i="2" s="1"/>
  <c r="Q363" i="2"/>
  <c r="R363" i="2" s="1"/>
  <c r="S363" i="2" s="1"/>
  <c r="T363" i="2" s="1"/>
  <c r="U363" i="2" s="1"/>
  <c r="I363" i="2"/>
  <c r="AA362" i="2"/>
  <c r="W362" i="2"/>
  <c r="Q362" i="2"/>
  <c r="R362" i="2" s="1"/>
  <c r="S362" i="2" s="1"/>
  <c r="T362" i="2" s="1"/>
  <c r="U362" i="2" s="1"/>
  <c r="I362" i="2"/>
  <c r="AA361" i="2"/>
  <c r="W361" i="2"/>
  <c r="X361" i="2" s="1"/>
  <c r="Y361" i="2" s="1"/>
  <c r="Q361" i="2"/>
  <c r="R361" i="2" s="1"/>
  <c r="S361" i="2" s="1"/>
  <c r="T361" i="2" s="1"/>
  <c r="U361" i="2" s="1"/>
  <c r="I361" i="2"/>
  <c r="AA360" i="2"/>
  <c r="W360" i="2"/>
  <c r="X360" i="2" s="1"/>
  <c r="Q360" i="2"/>
  <c r="R360" i="2" s="1"/>
  <c r="S360" i="2" s="1"/>
  <c r="T360" i="2" s="1"/>
  <c r="U360" i="2" s="1"/>
  <c r="I360" i="2"/>
  <c r="AA359" i="2"/>
  <c r="W359" i="2"/>
  <c r="X359" i="2" s="1"/>
  <c r="Y359" i="2" s="1"/>
  <c r="Q359" i="2"/>
  <c r="R359" i="2" s="1"/>
  <c r="S359" i="2" s="1"/>
  <c r="T359" i="2" s="1"/>
  <c r="U359" i="2" s="1"/>
  <c r="I359" i="2"/>
  <c r="AA358" i="2"/>
  <c r="W358" i="2"/>
  <c r="Q358" i="2"/>
  <c r="R358" i="2" s="1"/>
  <c r="S358" i="2" s="1"/>
  <c r="T358" i="2" s="1"/>
  <c r="U358" i="2" s="1"/>
  <c r="I358" i="2"/>
  <c r="AA357" i="2"/>
  <c r="W357" i="2"/>
  <c r="X357" i="2" s="1"/>
  <c r="Q357" i="2"/>
  <c r="R357" i="2" s="1"/>
  <c r="S357" i="2" s="1"/>
  <c r="T357" i="2" s="1"/>
  <c r="U357" i="2" s="1"/>
  <c r="I357" i="2"/>
  <c r="AA356" i="2"/>
  <c r="W356" i="2"/>
  <c r="X356" i="2" s="1"/>
  <c r="Y356" i="2" s="1"/>
  <c r="T356" i="2"/>
  <c r="U356" i="2" s="1"/>
  <c r="Q356" i="2"/>
  <c r="R356" i="2" s="1"/>
  <c r="S356" i="2" s="1"/>
  <c r="AA355" i="2"/>
  <c r="W355" i="2"/>
  <c r="X355" i="2" s="1"/>
  <c r="Q355" i="2"/>
  <c r="R355" i="2" s="1"/>
  <c r="S355" i="2" s="1"/>
  <c r="T355" i="2" s="1"/>
  <c r="U355" i="2" s="1"/>
  <c r="I355" i="2"/>
  <c r="AA354" i="2"/>
  <c r="W354" i="2"/>
  <c r="X354" i="2" s="1"/>
  <c r="Q354" i="2"/>
  <c r="R354" i="2" s="1"/>
  <c r="S354" i="2" s="1"/>
  <c r="T354" i="2" s="1"/>
  <c r="U354" i="2" s="1"/>
  <c r="I354" i="2"/>
  <c r="AA353" i="2"/>
  <c r="W353" i="2"/>
  <c r="X353" i="2" s="1"/>
  <c r="Q353" i="2"/>
  <c r="R353" i="2" s="1"/>
  <c r="S353" i="2" s="1"/>
  <c r="T353" i="2" s="1"/>
  <c r="U353" i="2" s="1"/>
  <c r="I353" i="2"/>
  <c r="AA352" i="2"/>
  <c r="W352" i="2"/>
  <c r="Q352" i="2"/>
  <c r="R352" i="2" s="1"/>
  <c r="S352" i="2" s="1"/>
  <c r="T352" i="2" s="1"/>
  <c r="U352" i="2" s="1"/>
  <c r="I352" i="2"/>
  <c r="AA351" i="2"/>
  <c r="W351" i="2"/>
  <c r="X351" i="2" s="1"/>
  <c r="Q351" i="2"/>
  <c r="R351" i="2" s="1"/>
  <c r="S351" i="2" s="1"/>
  <c r="T351" i="2" s="1"/>
  <c r="U351" i="2" s="1"/>
  <c r="I351" i="2"/>
  <c r="AA350" i="2"/>
  <c r="W350" i="2"/>
  <c r="Q350" i="2"/>
  <c r="R350" i="2" s="1"/>
  <c r="S350" i="2" s="1"/>
  <c r="T350" i="2" s="1"/>
  <c r="U350" i="2" s="1"/>
  <c r="I350" i="2"/>
  <c r="AA349" i="2"/>
  <c r="W349" i="2"/>
  <c r="X349" i="2" s="1"/>
  <c r="Q349" i="2"/>
  <c r="R349" i="2" s="1"/>
  <c r="S349" i="2" s="1"/>
  <c r="T349" i="2" s="1"/>
  <c r="U349" i="2" s="1"/>
  <c r="I349" i="2"/>
  <c r="AA348" i="2"/>
  <c r="W348" i="2"/>
  <c r="X348" i="2" s="1"/>
  <c r="Q348" i="2"/>
  <c r="R348" i="2" s="1"/>
  <c r="S348" i="2" s="1"/>
  <c r="T348" i="2" s="1"/>
  <c r="U348" i="2" s="1"/>
  <c r="I348" i="2"/>
  <c r="AA347" i="2"/>
  <c r="W347" i="2"/>
  <c r="X347" i="2" s="1"/>
  <c r="Q347" i="2"/>
  <c r="R347" i="2" s="1"/>
  <c r="S347" i="2" s="1"/>
  <c r="T347" i="2" s="1"/>
  <c r="U347" i="2" s="1"/>
  <c r="I347" i="2"/>
  <c r="AA346" i="2"/>
  <c r="W346" i="2"/>
  <c r="Q346" i="2"/>
  <c r="R346" i="2" s="1"/>
  <c r="S346" i="2" s="1"/>
  <c r="T346" i="2" s="1"/>
  <c r="U346" i="2" s="1"/>
  <c r="I346" i="2"/>
  <c r="AA345" i="2"/>
  <c r="W345" i="2"/>
  <c r="X345" i="2" s="1"/>
  <c r="Q345" i="2"/>
  <c r="R345" i="2" s="1"/>
  <c r="S345" i="2" s="1"/>
  <c r="T345" i="2" s="1"/>
  <c r="U345" i="2" s="1"/>
  <c r="I345" i="2"/>
  <c r="AA344" i="2"/>
  <c r="W344" i="2"/>
  <c r="Q344" i="2"/>
  <c r="R344" i="2" s="1"/>
  <c r="S344" i="2" s="1"/>
  <c r="T344" i="2" s="1"/>
  <c r="U344" i="2" s="1"/>
  <c r="I344" i="2"/>
  <c r="AA343" i="2"/>
  <c r="W343" i="2"/>
  <c r="X343" i="2" s="1"/>
  <c r="Q343" i="2"/>
  <c r="R343" i="2" s="1"/>
  <c r="S343" i="2" s="1"/>
  <c r="T343" i="2" s="1"/>
  <c r="U343" i="2" s="1"/>
  <c r="I343" i="2"/>
  <c r="AA342" i="2"/>
  <c r="W342" i="2"/>
  <c r="Q342" i="2"/>
  <c r="R342" i="2" s="1"/>
  <c r="S342" i="2" s="1"/>
  <c r="T342" i="2" s="1"/>
  <c r="U342" i="2" s="1"/>
  <c r="I342" i="2"/>
  <c r="AA341" i="2"/>
  <c r="W341" i="2"/>
  <c r="X341" i="2" s="1"/>
  <c r="Q341" i="2"/>
  <c r="R341" i="2" s="1"/>
  <c r="S341" i="2" s="1"/>
  <c r="T341" i="2" s="1"/>
  <c r="U341" i="2" s="1"/>
  <c r="I341" i="2"/>
  <c r="AA340" i="2"/>
  <c r="W340" i="2"/>
  <c r="Q340" i="2"/>
  <c r="R340" i="2" s="1"/>
  <c r="S340" i="2" s="1"/>
  <c r="T340" i="2" s="1"/>
  <c r="U340" i="2" s="1"/>
  <c r="I340" i="2"/>
  <c r="AA339" i="2"/>
  <c r="W339" i="2"/>
  <c r="X339" i="2" s="1"/>
  <c r="Q339" i="2"/>
  <c r="R339" i="2" s="1"/>
  <c r="S339" i="2" s="1"/>
  <c r="T339" i="2" s="1"/>
  <c r="U339" i="2" s="1"/>
  <c r="I339" i="2"/>
  <c r="AA338" i="2"/>
  <c r="W338" i="2"/>
  <c r="X338" i="2" s="1"/>
  <c r="Q338" i="2"/>
  <c r="R338" i="2" s="1"/>
  <c r="S338" i="2" s="1"/>
  <c r="T338" i="2" s="1"/>
  <c r="U338" i="2" s="1"/>
  <c r="I338" i="2"/>
  <c r="AA337" i="2"/>
  <c r="W337" i="2"/>
  <c r="X337" i="2" s="1"/>
  <c r="Q337" i="2"/>
  <c r="R337" i="2" s="1"/>
  <c r="S337" i="2" s="1"/>
  <c r="T337" i="2" s="1"/>
  <c r="U337" i="2" s="1"/>
  <c r="I337" i="2"/>
  <c r="AA336" i="2"/>
  <c r="W336" i="2"/>
  <c r="Q336" i="2"/>
  <c r="R336" i="2" s="1"/>
  <c r="S336" i="2" s="1"/>
  <c r="T336" i="2" s="1"/>
  <c r="U336" i="2" s="1"/>
  <c r="I336" i="2"/>
  <c r="AA335" i="2"/>
  <c r="W335" i="2"/>
  <c r="X335" i="2" s="1"/>
  <c r="Q335" i="2"/>
  <c r="R335" i="2" s="1"/>
  <c r="S335" i="2" s="1"/>
  <c r="T335" i="2" s="1"/>
  <c r="U335" i="2" s="1"/>
  <c r="I335" i="2"/>
  <c r="AA334" i="2"/>
  <c r="W334" i="2"/>
  <c r="X334" i="2" s="1"/>
  <c r="Q334" i="2"/>
  <c r="R334" i="2" s="1"/>
  <c r="S334" i="2" s="1"/>
  <c r="T334" i="2" s="1"/>
  <c r="U334" i="2" s="1"/>
  <c r="I334" i="2"/>
  <c r="AA333" i="2"/>
  <c r="W333" i="2"/>
  <c r="X333" i="2" s="1"/>
  <c r="Q333" i="2"/>
  <c r="R333" i="2" s="1"/>
  <c r="S333" i="2" s="1"/>
  <c r="T333" i="2" s="1"/>
  <c r="U333" i="2" s="1"/>
  <c r="I333" i="2"/>
  <c r="AA332" i="2"/>
  <c r="W332" i="2"/>
  <c r="X332" i="2" s="1"/>
  <c r="Q332" i="2"/>
  <c r="R332" i="2" s="1"/>
  <c r="S332" i="2" s="1"/>
  <c r="T332" i="2" s="1"/>
  <c r="U332" i="2" s="1"/>
  <c r="I332" i="2"/>
  <c r="AA331" i="2"/>
  <c r="W331" i="2"/>
  <c r="X331" i="2" s="1"/>
  <c r="Q331" i="2"/>
  <c r="R331" i="2" s="1"/>
  <c r="S331" i="2" s="1"/>
  <c r="T331" i="2" s="1"/>
  <c r="U331" i="2" s="1"/>
  <c r="I331" i="2"/>
  <c r="AA330" i="2"/>
  <c r="W330" i="2"/>
  <c r="Q330" i="2"/>
  <c r="R330" i="2" s="1"/>
  <c r="S330" i="2" s="1"/>
  <c r="T330" i="2" s="1"/>
  <c r="U330" i="2" s="1"/>
  <c r="I330" i="2"/>
  <c r="AA329" i="2"/>
  <c r="W329" i="2"/>
  <c r="X329" i="2" s="1"/>
  <c r="Q329" i="2"/>
  <c r="R329" i="2" s="1"/>
  <c r="S329" i="2" s="1"/>
  <c r="T329" i="2" s="1"/>
  <c r="U329" i="2" s="1"/>
  <c r="I329" i="2"/>
  <c r="AA328" i="2"/>
  <c r="W328" i="2"/>
  <c r="Q328" i="2"/>
  <c r="R328" i="2" s="1"/>
  <c r="S328" i="2" s="1"/>
  <c r="T328" i="2" s="1"/>
  <c r="U328" i="2" s="1"/>
  <c r="I328" i="2"/>
  <c r="AA327" i="2"/>
  <c r="W327" i="2"/>
  <c r="X327" i="2" s="1"/>
  <c r="Q327" i="2"/>
  <c r="R327" i="2" s="1"/>
  <c r="S327" i="2" s="1"/>
  <c r="T327" i="2" s="1"/>
  <c r="U327" i="2" s="1"/>
  <c r="I327" i="2"/>
  <c r="AA326" i="2"/>
  <c r="W326" i="2"/>
  <c r="X326" i="2" s="1"/>
  <c r="Q326" i="2"/>
  <c r="R326" i="2" s="1"/>
  <c r="S326" i="2" s="1"/>
  <c r="T326" i="2" s="1"/>
  <c r="U326" i="2" s="1"/>
  <c r="I326" i="2"/>
  <c r="AA325" i="2"/>
  <c r="W325" i="2"/>
  <c r="X325" i="2" s="1"/>
  <c r="Q325" i="2"/>
  <c r="R325" i="2" s="1"/>
  <c r="S325" i="2" s="1"/>
  <c r="T325" i="2" s="1"/>
  <c r="U325" i="2" s="1"/>
  <c r="I325" i="2"/>
  <c r="AA324" i="2"/>
  <c r="W324" i="2"/>
  <c r="X324" i="2" s="1"/>
  <c r="Q324" i="2"/>
  <c r="R324" i="2" s="1"/>
  <c r="S324" i="2" s="1"/>
  <c r="T324" i="2" s="1"/>
  <c r="U324" i="2" s="1"/>
  <c r="I324" i="2"/>
  <c r="AA323" i="2"/>
  <c r="W323" i="2"/>
  <c r="X323" i="2" s="1"/>
  <c r="Q323" i="2"/>
  <c r="R323" i="2" s="1"/>
  <c r="S323" i="2" s="1"/>
  <c r="T323" i="2" s="1"/>
  <c r="U323" i="2" s="1"/>
  <c r="I323" i="2"/>
  <c r="AA322" i="2"/>
  <c r="W322" i="2"/>
  <c r="X322" i="2" s="1"/>
  <c r="Q322" i="2"/>
  <c r="R322" i="2" s="1"/>
  <c r="S322" i="2" s="1"/>
  <c r="T322" i="2" s="1"/>
  <c r="U322" i="2" s="1"/>
  <c r="I322" i="2"/>
  <c r="AA321" i="2"/>
  <c r="W321" i="2"/>
  <c r="X321" i="2" s="1"/>
  <c r="Q321" i="2"/>
  <c r="R321" i="2" s="1"/>
  <c r="S321" i="2" s="1"/>
  <c r="T321" i="2" s="1"/>
  <c r="U321" i="2" s="1"/>
  <c r="I321" i="2"/>
  <c r="AA320" i="2"/>
  <c r="W320" i="2"/>
  <c r="Q320" i="2"/>
  <c r="R320" i="2" s="1"/>
  <c r="S320" i="2" s="1"/>
  <c r="T320" i="2" s="1"/>
  <c r="U320" i="2" s="1"/>
  <c r="I320" i="2"/>
  <c r="AA319" i="2"/>
  <c r="W319" i="2"/>
  <c r="X319" i="2" s="1"/>
  <c r="Q319" i="2"/>
  <c r="R319" i="2" s="1"/>
  <c r="S319" i="2" s="1"/>
  <c r="T319" i="2" s="1"/>
  <c r="U319" i="2" s="1"/>
  <c r="I319" i="2"/>
  <c r="AA318" i="2"/>
  <c r="W318" i="2"/>
  <c r="X318" i="2" s="1"/>
  <c r="Q318" i="2"/>
  <c r="R318" i="2" s="1"/>
  <c r="S318" i="2" s="1"/>
  <c r="T318" i="2" s="1"/>
  <c r="U318" i="2" s="1"/>
  <c r="I318" i="2"/>
  <c r="AA317" i="2"/>
  <c r="W317" i="2"/>
  <c r="X317" i="2" s="1"/>
  <c r="Q317" i="2"/>
  <c r="R317" i="2" s="1"/>
  <c r="S317" i="2" s="1"/>
  <c r="T317" i="2" s="1"/>
  <c r="U317" i="2" s="1"/>
  <c r="I317" i="2"/>
  <c r="AA316" i="2"/>
  <c r="W316" i="2"/>
  <c r="X316" i="2" s="1"/>
  <c r="Q316" i="2"/>
  <c r="R316" i="2" s="1"/>
  <c r="S316" i="2" s="1"/>
  <c r="T316" i="2" s="1"/>
  <c r="U316" i="2" s="1"/>
  <c r="I316" i="2"/>
  <c r="AA315" i="2"/>
  <c r="W315" i="2"/>
  <c r="X315" i="2" s="1"/>
  <c r="Q315" i="2"/>
  <c r="R315" i="2" s="1"/>
  <c r="S315" i="2" s="1"/>
  <c r="T315" i="2" s="1"/>
  <c r="U315" i="2" s="1"/>
  <c r="I315" i="2"/>
  <c r="AA314" i="2"/>
  <c r="W314" i="2"/>
  <c r="Q314" i="2"/>
  <c r="R314" i="2" s="1"/>
  <c r="S314" i="2" s="1"/>
  <c r="T314" i="2" s="1"/>
  <c r="U314" i="2" s="1"/>
  <c r="I314" i="2"/>
  <c r="AA313" i="2"/>
  <c r="W313" i="2"/>
  <c r="X313" i="2" s="1"/>
  <c r="Q313" i="2"/>
  <c r="R313" i="2" s="1"/>
  <c r="S313" i="2" s="1"/>
  <c r="T313" i="2" s="1"/>
  <c r="U313" i="2" s="1"/>
  <c r="I313" i="2"/>
  <c r="AA312" i="2"/>
  <c r="W312" i="2"/>
  <c r="Q312" i="2"/>
  <c r="R312" i="2" s="1"/>
  <c r="S312" i="2" s="1"/>
  <c r="T312" i="2" s="1"/>
  <c r="U312" i="2" s="1"/>
  <c r="I312" i="2"/>
  <c r="AA311" i="2"/>
  <c r="W311" i="2"/>
  <c r="X311" i="2" s="1"/>
  <c r="Q311" i="2"/>
  <c r="R311" i="2" s="1"/>
  <c r="S311" i="2" s="1"/>
  <c r="T311" i="2" s="1"/>
  <c r="U311" i="2" s="1"/>
  <c r="I311" i="2"/>
  <c r="AA310" i="2"/>
  <c r="W310" i="2"/>
  <c r="Q310" i="2"/>
  <c r="R310" i="2" s="1"/>
  <c r="S310" i="2" s="1"/>
  <c r="T310" i="2" s="1"/>
  <c r="U310" i="2" s="1"/>
  <c r="I310" i="2"/>
  <c r="AA309" i="2"/>
  <c r="W309" i="2"/>
  <c r="X309" i="2" s="1"/>
  <c r="Q309" i="2"/>
  <c r="R309" i="2" s="1"/>
  <c r="S309" i="2" s="1"/>
  <c r="T309" i="2" s="1"/>
  <c r="U309" i="2" s="1"/>
  <c r="I309" i="2"/>
  <c r="AA308" i="2"/>
  <c r="W308" i="2"/>
  <c r="Q308" i="2"/>
  <c r="R308" i="2" s="1"/>
  <c r="S308" i="2" s="1"/>
  <c r="T308" i="2" s="1"/>
  <c r="U308" i="2" s="1"/>
  <c r="I308" i="2"/>
  <c r="AA307" i="2"/>
  <c r="W307" i="2"/>
  <c r="X307" i="2" s="1"/>
  <c r="Q307" i="2"/>
  <c r="R307" i="2" s="1"/>
  <c r="S307" i="2" s="1"/>
  <c r="T307" i="2" s="1"/>
  <c r="U307" i="2" s="1"/>
  <c r="I307" i="2"/>
  <c r="AA306" i="2"/>
  <c r="W306" i="2"/>
  <c r="X306" i="2" s="1"/>
  <c r="Q306" i="2"/>
  <c r="R306" i="2" s="1"/>
  <c r="S306" i="2" s="1"/>
  <c r="T306" i="2" s="1"/>
  <c r="U306" i="2" s="1"/>
  <c r="I306" i="2"/>
  <c r="AA305" i="2"/>
  <c r="W305" i="2"/>
  <c r="X305" i="2" s="1"/>
  <c r="Q305" i="2"/>
  <c r="R305" i="2" s="1"/>
  <c r="S305" i="2" s="1"/>
  <c r="T305" i="2" s="1"/>
  <c r="U305" i="2" s="1"/>
  <c r="I305" i="2"/>
  <c r="AA304" i="2"/>
  <c r="W304" i="2"/>
  <c r="Q304" i="2"/>
  <c r="R304" i="2" s="1"/>
  <c r="S304" i="2" s="1"/>
  <c r="T304" i="2" s="1"/>
  <c r="U304" i="2" s="1"/>
  <c r="I304" i="2"/>
  <c r="AA303" i="2"/>
  <c r="W303" i="2"/>
  <c r="X303" i="2" s="1"/>
  <c r="Q303" i="2"/>
  <c r="R303" i="2" s="1"/>
  <c r="S303" i="2" s="1"/>
  <c r="T303" i="2" s="1"/>
  <c r="U303" i="2" s="1"/>
  <c r="I303" i="2"/>
  <c r="AA302" i="2"/>
  <c r="W302" i="2"/>
  <c r="X302" i="2" s="1"/>
  <c r="Q302" i="2"/>
  <c r="R302" i="2" s="1"/>
  <c r="S302" i="2" s="1"/>
  <c r="T302" i="2" s="1"/>
  <c r="U302" i="2" s="1"/>
  <c r="I302" i="2"/>
  <c r="AA301" i="2"/>
  <c r="W301" i="2"/>
  <c r="X301" i="2" s="1"/>
  <c r="T301" i="2"/>
  <c r="U301" i="2" s="1"/>
  <c r="Q301" i="2"/>
  <c r="R301" i="2" s="1"/>
  <c r="S301" i="2" s="1"/>
  <c r="AA300" i="2"/>
  <c r="W300" i="2"/>
  <c r="X300" i="2" s="1"/>
  <c r="Q300" i="2"/>
  <c r="R300" i="2" s="1"/>
  <c r="S300" i="2" s="1"/>
  <c r="T300" i="2" s="1"/>
  <c r="U300" i="2" s="1"/>
  <c r="I300" i="2"/>
  <c r="AA299" i="2"/>
  <c r="W299" i="2"/>
  <c r="X299" i="2" s="1"/>
  <c r="Y299" i="2" s="1"/>
  <c r="Q299" i="2"/>
  <c r="R299" i="2" s="1"/>
  <c r="S299" i="2" s="1"/>
  <c r="T299" i="2" s="1"/>
  <c r="U299" i="2" s="1"/>
  <c r="I299" i="2"/>
  <c r="AA298" i="2"/>
  <c r="W298" i="2"/>
  <c r="X298" i="2" s="1"/>
  <c r="Q298" i="2"/>
  <c r="R298" i="2" s="1"/>
  <c r="S298" i="2" s="1"/>
  <c r="T298" i="2" s="1"/>
  <c r="U298" i="2" s="1"/>
  <c r="I298" i="2"/>
  <c r="AA297" i="2"/>
  <c r="W297" i="2"/>
  <c r="Q297" i="2"/>
  <c r="R297" i="2" s="1"/>
  <c r="S297" i="2" s="1"/>
  <c r="T297" i="2" s="1"/>
  <c r="U297" i="2" s="1"/>
  <c r="I297" i="2"/>
  <c r="AA296" i="2"/>
  <c r="W296" i="2"/>
  <c r="X296" i="2" s="1"/>
  <c r="Y296" i="2" s="1"/>
  <c r="Q296" i="2"/>
  <c r="R296" i="2" s="1"/>
  <c r="S296" i="2" s="1"/>
  <c r="T296" i="2" s="1"/>
  <c r="U296" i="2" s="1"/>
  <c r="I296" i="2"/>
  <c r="AA295" i="2"/>
  <c r="W295" i="2"/>
  <c r="X295" i="2" s="1"/>
  <c r="Q295" i="2"/>
  <c r="R295" i="2" s="1"/>
  <c r="S295" i="2" s="1"/>
  <c r="T295" i="2" s="1"/>
  <c r="U295" i="2" s="1"/>
  <c r="I295" i="2"/>
  <c r="AA294" i="2"/>
  <c r="W294" i="2"/>
  <c r="X294" i="2" s="1"/>
  <c r="Q294" i="2"/>
  <c r="R294" i="2" s="1"/>
  <c r="S294" i="2" s="1"/>
  <c r="T294" i="2" s="1"/>
  <c r="U294" i="2" s="1"/>
  <c r="I294" i="2"/>
  <c r="AA293" i="2"/>
  <c r="W293" i="2"/>
  <c r="X293" i="2" s="1"/>
  <c r="Q293" i="2"/>
  <c r="R293" i="2" s="1"/>
  <c r="S293" i="2" s="1"/>
  <c r="T293" i="2" s="1"/>
  <c r="U293" i="2" s="1"/>
  <c r="I293" i="2"/>
  <c r="AA292" i="2"/>
  <c r="W292" i="2"/>
  <c r="X292" i="2" s="1"/>
  <c r="Y292" i="2" s="1"/>
  <c r="Q292" i="2"/>
  <c r="R292" i="2" s="1"/>
  <c r="S292" i="2" s="1"/>
  <c r="T292" i="2" s="1"/>
  <c r="U292" i="2" s="1"/>
  <c r="I292" i="2"/>
  <c r="AA291" i="2"/>
  <c r="W291" i="2"/>
  <c r="Q291" i="2"/>
  <c r="R291" i="2" s="1"/>
  <c r="S291" i="2" s="1"/>
  <c r="T291" i="2" s="1"/>
  <c r="U291" i="2" s="1"/>
  <c r="I291" i="2"/>
  <c r="AA290" i="2"/>
  <c r="W290" i="2"/>
  <c r="X290" i="2" s="1"/>
  <c r="Y290" i="2" s="1"/>
  <c r="Q290" i="2"/>
  <c r="R290" i="2" s="1"/>
  <c r="S290" i="2" s="1"/>
  <c r="T290" i="2" s="1"/>
  <c r="U290" i="2" s="1"/>
  <c r="I290" i="2"/>
  <c r="AA289" i="2"/>
  <c r="W289" i="2"/>
  <c r="X289" i="2" s="1"/>
  <c r="Q289" i="2"/>
  <c r="R289" i="2" s="1"/>
  <c r="S289" i="2" s="1"/>
  <c r="T289" i="2" s="1"/>
  <c r="U289" i="2" s="1"/>
  <c r="I289" i="2"/>
  <c r="AA288" i="2"/>
  <c r="W288" i="2"/>
  <c r="X288" i="2" s="1"/>
  <c r="Y288" i="2" s="1"/>
  <c r="Q288" i="2"/>
  <c r="R288" i="2" s="1"/>
  <c r="S288" i="2" s="1"/>
  <c r="T288" i="2" s="1"/>
  <c r="U288" i="2" s="1"/>
  <c r="I288" i="2"/>
  <c r="AA287" i="2"/>
  <c r="W287" i="2"/>
  <c r="Q287" i="2"/>
  <c r="R287" i="2" s="1"/>
  <c r="S287" i="2" s="1"/>
  <c r="T287" i="2" s="1"/>
  <c r="U287" i="2" s="1"/>
  <c r="I287" i="2"/>
  <c r="AA286" i="2"/>
  <c r="W286" i="2"/>
  <c r="X286" i="2" s="1"/>
  <c r="Q286" i="2"/>
  <c r="R286" i="2" s="1"/>
  <c r="S286" i="2" s="1"/>
  <c r="T286" i="2" s="1"/>
  <c r="U286" i="2" s="1"/>
  <c r="I286" i="2"/>
  <c r="AA285" i="2"/>
  <c r="W285" i="2"/>
  <c r="X285" i="2" s="1"/>
  <c r="Q285" i="2"/>
  <c r="R285" i="2" s="1"/>
  <c r="S285" i="2" s="1"/>
  <c r="T285" i="2" s="1"/>
  <c r="U285" i="2" s="1"/>
  <c r="I285" i="2"/>
  <c r="AA284" i="2"/>
  <c r="W284" i="2"/>
  <c r="X284" i="2" s="1"/>
  <c r="Y284" i="2" s="1"/>
  <c r="Q284" i="2"/>
  <c r="R284" i="2" s="1"/>
  <c r="S284" i="2" s="1"/>
  <c r="T284" i="2" s="1"/>
  <c r="U284" i="2" s="1"/>
  <c r="I284" i="2"/>
  <c r="AA283" i="2"/>
  <c r="W283" i="2"/>
  <c r="Q283" i="2"/>
  <c r="R283" i="2" s="1"/>
  <c r="S283" i="2" s="1"/>
  <c r="T283" i="2" s="1"/>
  <c r="U283" i="2" s="1"/>
  <c r="I283" i="2"/>
  <c r="AA282" i="2"/>
  <c r="W282" i="2"/>
  <c r="Q282" i="2"/>
  <c r="R282" i="2" s="1"/>
  <c r="S282" i="2" s="1"/>
  <c r="T282" i="2" s="1"/>
  <c r="U282" i="2" s="1"/>
  <c r="I282" i="2"/>
  <c r="AA281" i="2"/>
  <c r="W281" i="2"/>
  <c r="Q281" i="2"/>
  <c r="R281" i="2" s="1"/>
  <c r="S281" i="2" s="1"/>
  <c r="T281" i="2" s="1"/>
  <c r="U281" i="2" s="1"/>
  <c r="I281" i="2"/>
  <c r="AA280" i="2"/>
  <c r="W280" i="2"/>
  <c r="X280" i="2" s="1"/>
  <c r="Y280" i="2" s="1"/>
  <c r="Q280" i="2"/>
  <c r="R280" i="2" s="1"/>
  <c r="S280" i="2" s="1"/>
  <c r="T280" i="2" s="1"/>
  <c r="U280" i="2" s="1"/>
  <c r="I280" i="2"/>
  <c r="AA279" i="2"/>
  <c r="W279" i="2"/>
  <c r="X279" i="2" s="1"/>
  <c r="Q279" i="2"/>
  <c r="R279" i="2" s="1"/>
  <c r="S279" i="2" s="1"/>
  <c r="T279" i="2" s="1"/>
  <c r="U279" i="2" s="1"/>
  <c r="I279" i="2"/>
  <c r="AA278" i="2"/>
  <c r="W278" i="2"/>
  <c r="X278" i="2" s="1"/>
  <c r="Y278" i="2" s="1"/>
  <c r="Q278" i="2"/>
  <c r="R278" i="2" s="1"/>
  <c r="S278" i="2" s="1"/>
  <c r="T278" i="2" s="1"/>
  <c r="U278" i="2" s="1"/>
  <c r="I278" i="2"/>
  <c r="AA277" i="2"/>
  <c r="W277" i="2"/>
  <c r="X277" i="2" s="1"/>
  <c r="Q277" i="2"/>
  <c r="R277" i="2" s="1"/>
  <c r="S277" i="2" s="1"/>
  <c r="T277" i="2" s="1"/>
  <c r="U277" i="2" s="1"/>
  <c r="I277" i="2"/>
  <c r="AA276" i="2"/>
  <c r="W276" i="2"/>
  <c r="X276" i="2" s="1"/>
  <c r="Y276" i="2" s="1"/>
  <c r="Q276" i="2"/>
  <c r="R276" i="2" s="1"/>
  <c r="S276" i="2" s="1"/>
  <c r="T276" i="2" s="1"/>
  <c r="U276" i="2" s="1"/>
  <c r="I276" i="2"/>
  <c r="AA275" i="2"/>
  <c r="W275" i="2"/>
  <c r="Q275" i="2"/>
  <c r="R275" i="2" s="1"/>
  <c r="S275" i="2" s="1"/>
  <c r="T275" i="2" s="1"/>
  <c r="U275" i="2" s="1"/>
  <c r="I275" i="2"/>
  <c r="AA274" i="2"/>
  <c r="W274" i="2"/>
  <c r="X274" i="2" s="1"/>
  <c r="Q274" i="2"/>
  <c r="R274" i="2" s="1"/>
  <c r="S274" i="2" s="1"/>
  <c r="T274" i="2" s="1"/>
  <c r="U274" i="2" s="1"/>
  <c r="I274" i="2"/>
  <c r="AA273" i="2"/>
  <c r="W273" i="2"/>
  <c r="Q273" i="2"/>
  <c r="R273" i="2" s="1"/>
  <c r="S273" i="2" s="1"/>
  <c r="T273" i="2" s="1"/>
  <c r="U273" i="2" s="1"/>
  <c r="I273" i="2"/>
  <c r="AA272" i="2"/>
  <c r="W272" i="2"/>
  <c r="X272" i="2" s="1"/>
  <c r="Y272" i="2" s="1"/>
  <c r="Q272" i="2"/>
  <c r="R272" i="2" s="1"/>
  <c r="S272" i="2" s="1"/>
  <c r="T272" i="2" s="1"/>
  <c r="U272" i="2" s="1"/>
  <c r="I272" i="2"/>
  <c r="AA271" i="2"/>
  <c r="W271" i="2"/>
  <c r="Q271" i="2"/>
  <c r="R271" i="2" s="1"/>
  <c r="S271" i="2" s="1"/>
  <c r="T271" i="2" s="1"/>
  <c r="U271" i="2" s="1"/>
  <c r="I271" i="2"/>
  <c r="AA270" i="2"/>
  <c r="W270" i="2"/>
  <c r="Q270" i="2"/>
  <c r="R270" i="2" s="1"/>
  <c r="S270" i="2" s="1"/>
  <c r="T270" i="2" s="1"/>
  <c r="U270" i="2" s="1"/>
  <c r="I270" i="2"/>
  <c r="AA269" i="2"/>
  <c r="W269" i="2"/>
  <c r="Q269" i="2"/>
  <c r="R269" i="2" s="1"/>
  <c r="S269" i="2" s="1"/>
  <c r="T269" i="2" s="1"/>
  <c r="U269" i="2" s="1"/>
  <c r="I269" i="2"/>
  <c r="AA268" i="2"/>
  <c r="W268" i="2"/>
  <c r="X268" i="2" s="1"/>
  <c r="Y268" i="2" s="1"/>
  <c r="Q268" i="2"/>
  <c r="R268" i="2" s="1"/>
  <c r="S268" i="2" s="1"/>
  <c r="T268" i="2" s="1"/>
  <c r="U268" i="2" s="1"/>
  <c r="I268" i="2"/>
  <c r="AA267" i="2"/>
  <c r="W267" i="2"/>
  <c r="X267" i="2" s="1"/>
  <c r="Q267" i="2"/>
  <c r="R267" i="2" s="1"/>
  <c r="S267" i="2" s="1"/>
  <c r="T267" i="2" s="1"/>
  <c r="U267" i="2" s="1"/>
  <c r="I267" i="2"/>
  <c r="AA266" i="2"/>
  <c r="W266" i="2"/>
  <c r="Q266" i="2"/>
  <c r="R266" i="2" s="1"/>
  <c r="S266" i="2" s="1"/>
  <c r="T266" i="2" s="1"/>
  <c r="U266" i="2" s="1"/>
  <c r="I266" i="2"/>
  <c r="AA265" i="2"/>
  <c r="W265" i="2"/>
  <c r="Q265" i="2"/>
  <c r="R265" i="2" s="1"/>
  <c r="S265" i="2" s="1"/>
  <c r="T265" i="2" s="1"/>
  <c r="U265" i="2" s="1"/>
  <c r="I265" i="2"/>
  <c r="AA264" i="2"/>
  <c r="W264" i="2"/>
  <c r="X264" i="2" s="1"/>
  <c r="Y264" i="2" s="1"/>
  <c r="Q264" i="2"/>
  <c r="R264" i="2" s="1"/>
  <c r="S264" i="2" s="1"/>
  <c r="T264" i="2" s="1"/>
  <c r="U264" i="2" s="1"/>
  <c r="I264" i="2"/>
  <c r="AA263" i="2"/>
  <c r="W263" i="2"/>
  <c r="X263" i="2" s="1"/>
  <c r="Q263" i="2"/>
  <c r="R263" i="2" s="1"/>
  <c r="S263" i="2" s="1"/>
  <c r="T263" i="2" s="1"/>
  <c r="U263" i="2" s="1"/>
  <c r="I263" i="2"/>
  <c r="AA262" i="2"/>
  <c r="W262" i="2"/>
  <c r="X262" i="2" s="1"/>
  <c r="Y262" i="2" s="1"/>
  <c r="Q262" i="2"/>
  <c r="R262" i="2" s="1"/>
  <c r="S262" i="2" s="1"/>
  <c r="T262" i="2" s="1"/>
  <c r="U262" i="2" s="1"/>
  <c r="I262" i="2"/>
  <c r="AA261" i="2"/>
  <c r="W261" i="2"/>
  <c r="X261" i="2" s="1"/>
  <c r="Q261" i="2"/>
  <c r="R261" i="2" s="1"/>
  <c r="S261" i="2" s="1"/>
  <c r="T261" i="2" s="1"/>
  <c r="U261" i="2" s="1"/>
  <c r="I261" i="2"/>
  <c r="AA260" i="2"/>
  <c r="W260" i="2"/>
  <c r="X260" i="2" s="1"/>
  <c r="Y260" i="2" s="1"/>
  <c r="Q260" i="2"/>
  <c r="R260" i="2" s="1"/>
  <c r="S260" i="2" s="1"/>
  <c r="T260" i="2" s="1"/>
  <c r="U260" i="2" s="1"/>
  <c r="I260" i="2"/>
  <c r="AA259" i="2"/>
  <c r="W259" i="2"/>
  <c r="X259" i="2" s="1"/>
  <c r="Q259" i="2"/>
  <c r="R259" i="2" s="1"/>
  <c r="S259" i="2" s="1"/>
  <c r="T259" i="2" s="1"/>
  <c r="U259" i="2" s="1"/>
  <c r="I259" i="2"/>
  <c r="AA258" i="2"/>
  <c r="W258" i="2"/>
  <c r="X258" i="2" s="1"/>
  <c r="Y258" i="2" s="1"/>
  <c r="Q258" i="2"/>
  <c r="R258" i="2" s="1"/>
  <c r="S258" i="2" s="1"/>
  <c r="T258" i="2" s="1"/>
  <c r="U258" i="2" s="1"/>
  <c r="I258" i="2"/>
  <c r="AA257" i="2"/>
  <c r="W257" i="2"/>
  <c r="Q257" i="2"/>
  <c r="R257" i="2" s="1"/>
  <c r="S257" i="2" s="1"/>
  <c r="T257" i="2" s="1"/>
  <c r="U257" i="2" s="1"/>
  <c r="I257" i="2"/>
  <c r="AA256" i="2"/>
  <c r="W256" i="2"/>
  <c r="X256" i="2" s="1"/>
  <c r="Y256" i="2" s="1"/>
  <c r="Q256" i="2"/>
  <c r="R256" i="2" s="1"/>
  <c r="S256" i="2" s="1"/>
  <c r="T256" i="2" s="1"/>
  <c r="U256" i="2" s="1"/>
  <c r="I256" i="2"/>
  <c r="AA255" i="2"/>
  <c r="W255" i="2"/>
  <c r="Q255" i="2"/>
  <c r="R255" i="2" s="1"/>
  <c r="S255" i="2" s="1"/>
  <c r="T255" i="2" s="1"/>
  <c r="U255" i="2" s="1"/>
  <c r="I255" i="2"/>
  <c r="AA254" i="2"/>
  <c r="W254" i="2"/>
  <c r="Q254" i="2"/>
  <c r="R254" i="2" s="1"/>
  <c r="S254" i="2" s="1"/>
  <c r="T254" i="2" s="1"/>
  <c r="U254" i="2" s="1"/>
  <c r="I254" i="2"/>
  <c r="AA253" i="2"/>
  <c r="W253" i="2"/>
  <c r="Q253" i="2"/>
  <c r="R253" i="2" s="1"/>
  <c r="S253" i="2" s="1"/>
  <c r="T253" i="2" s="1"/>
  <c r="U253" i="2" s="1"/>
  <c r="I253" i="2"/>
  <c r="AA252" i="2"/>
  <c r="W252" i="2"/>
  <c r="Q252" i="2"/>
  <c r="R252" i="2" s="1"/>
  <c r="S252" i="2" s="1"/>
  <c r="T252" i="2" s="1"/>
  <c r="U252" i="2" s="1"/>
  <c r="I252" i="2"/>
  <c r="AA251" i="2"/>
  <c r="W251" i="2"/>
  <c r="Q251" i="2"/>
  <c r="R251" i="2" s="1"/>
  <c r="S251" i="2" s="1"/>
  <c r="T251" i="2" s="1"/>
  <c r="U251" i="2" s="1"/>
  <c r="I251" i="2"/>
  <c r="AA250" i="2"/>
  <c r="W250" i="2"/>
  <c r="X250" i="2" s="1"/>
  <c r="Q250" i="2"/>
  <c r="R250" i="2" s="1"/>
  <c r="S250" i="2" s="1"/>
  <c r="T250" i="2" s="1"/>
  <c r="U250" i="2" s="1"/>
  <c r="I250" i="2"/>
  <c r="AA249" i="2"/>
  <c r="W249" i="2"/>
  <c r="X249" i="2" s="1"/>
  <c r="Q249" i="2"/>
  <c r="R249" i="2" s="1"/>
  <c r="S249" i="2" s="1"/>
  <c r="T249" i="2" s="1"/>
  <c r="U249" i="2" s="1"/>
  <c r="I249" i="2"/>
  <c r="AA248" i="2"/>
  <c r="W248" i="2"/>
  <c r="X248" i="2" s="1"/>
  <c r="Q248" i="2"/>
  <c r="R248" i="2" s="1"/>
  <c r="S248" i="2" s="1"/>
  <c r="T248" i="2" s="1"/>
  <c r="U248" i="2" s="1"/>
  <c r="I248" i="2"/>
  <c r="AA247" i="2"/>
  <c r="W247" i="2"/>
  <c r="Q247" i="2"/>
  <c r="R247" i="2" s="1"/>
  <c r="S247" i="2" s="1"/>
  <c r="T247" i="2" s="1"/>
  <c r="U247" i="2" s="1"/>
  <c r="I247" i="2"/>
  <c r="AA246" i="2"/>
  <c r="W246" i="2"/>
  <c r="X246" i="2" s="1"/>
  <c r="Y246" i="2" s="1"/>
  <c r="Q246" i="2"/>
  <c r="R246" i="2" s="1"/>
  <c r="S246" i="2" s="1"/>
  <c r="T246" i="2" s="1"/>
  <c r="U246" i="2" s="1"/>
  <c r="I246" i="2"/>
  <c r="AA245" i="2"/>
  <c r="W245" i="2"/>
  <c r="X245" i="2" s="1"/>
  <c r="Q245" i="2"/>
  <c r="R245" i="2" s="1"/>
  <c r="S245" i="2" s="1"/>
  <c r="T245" i="2" s="1"/>
  <c r="U245" i="2" s="1"/>
  <c r="I245" i="2"/>
  <c r="AA244" i="2"/>
  <c r="W244" i="2"/>
  <c r="Q244" i="2"/>
  <c r="R244" i="2" s="1"/>
  <c r="S244" i="2" s="1"/>
  <c r="T244" i="2" s="1"/>
  <c r="U244" i="2" s="1"/>
  <c r="I244" i="2"/>
  <c r="AA243" i="2"/>
  <c r="W243" i="2"/>
  <c r="Q243" i="2"/>
  <c r="R243" i="2" s="1"/>
  <c r="S243" i="2" s="1"/>
  <c r="T243" i="2" s="1"/>
  <c r="U243" i="2" s="1"/>
  <c r="I243" i="2"/>
  <c r="AA242" i="2"/>
  <c r="W242" i="2"/>
  <c r="X242" i="2" s="1"/>
  <c r="Y242" i="2" s="1"/>
  <c r="Q242" i="2"/>
  <c r="R242" i="2" s="1"/>
  <c r="S242" i="2" s="1"/>
  <c r="T242" i="2" s="1"/>
  <c r="U242" i="2" s="1"/>
  <c r="I242" i="2"/>
  <c r="AA241" i="2"/>
  <c r="W241" i="2"/>
  <c r="X241" i="2" s="1"/>
  <c r="Q241" i="2"/>
  <c r="R241" i="2" s="1"/>
  <c r="S241" i="2" s="1"/>
  <c r="T241" i="2" s="1"/>
  <c r="U241" i="2" s="1"/>
  <c r="I241" i="2"/>
  <c r="AA240" i="2"/>
  <c r="W240" i="2"/>
  <c r="X240" i="2" s="1"/>
  <c r="Y240" i="2" s="1"/>
  <c r="Q240" i="2"/>
  <c r="R240" i="2" s="1"/>
  <c r="S240" i="2" s="1"/>
  <c r="T240" i="2" s="1"/>
  <c r="U240" i="2" s="1"/>
  <c r="I240" i="2"/>
  <c r="AA239" i="2"/>
  <c r="W239" i="2"/>
  <c r="Q239" i="2"/>
  <c r="R239" i="2" s="1"/>
  <c r="S239" i="2" s="1"/>
  <c r="T239" i="2" s="1"/>
  <c r="U239" i="2" s="1"/>
  <c r="I239" i="2"/>
  <c r="AA238" i="2"/>
  <c r="W238" i="2"/>
  <c r="X238" i="2" s="1"/>
  <c r="Y238" i="2" s="1"/>
  <c r="Q238" i="2"/>
  <c r="R238" i="2" s="1"/>
  <c r="S238" i="2" s="1"/>
  <c r="T238" i="2" s="1"/>
  <c r="U238" i="2" s="1"/>
  <c r="I238" i="2"/>
  <c r="AA237" i="2"/>
  <c r="W237" i="2"/>
  <c r="X237" i="2" s="1"/>
  <c r="Y237" i="2" s="1"/>
  <c r="Q237" i="2"/>
  <c r="R237" i="2" s="1"/>
  <c r="S237" i="2" s="1"/>
  <c r="T237" i="2" s="1"/>
  <c r="U237" i="2" s="1"/>
  <c r="I237" i="2"/>
  <c r="AA236" i="2"/>
  <c r="W236" i="2"/>
  <c r="X236" i="2" s="1"/>
  <c r="Y236" i="2" s="1"/>
  <c r="Q236" i="2"/>
  <c r="R236" i="2" s="1"/>
  <c r="S236" i="2" s="1"/>
  <c r="T236" i="2" s="1"/>
  <c r="U236" i="2" s="1"/>
  <c r="I236" i="2"/>
  <c r="AA235" i="2"/>
  <c r="W235" i="2"/>
  <c r="Q235" i="2"/>
  <c r="R235" i="2" s="1"/>
  <c r="S235" i="2" s="1"/>
  <c r="T235" i="2" s="1"/>
  <c r="U235" i="2" s="1"/>
  <c r="I235" i="2"/>
  <c r="AA234" i="2"/>
  <c r="W234" i="2"/>
  <c r="X234" i="2" s="1"/>
  <c r="Y234" i="2" s="1"/>
  <c r="Q234" i="2"/>
  <c r="R234" i="2" s="1"/>
  <c r="S234" i="2" s="1"/>
  <c r="T234" i="2" s="1"/>
  <c r="U234" i="2" s="1"/>
  <c r="I234" i="2"/>
  <c r="AA233" i="2"/>
  <c r="W233" i="2"/>
  <c r="X233" i="2" s="1"/>
  <c r="Q233" i="2"/>
  <c r="R233" i="2" s="1"/>
  <c r="S233" i="2" s="1"/>
  <c r="T233" i="2" s="1"/>
  <c r="U233" i="2" s="1"/>
  <c r="I233" i="2"/>
  <c r="AA232" i="2"/>
  <c r="W232" i="2"/>
  <c r="X232" i="2" s="1"/>
  <c r="Y232" i="2" s="1"/>
  <c r="Q232" i="2"/>
  <c r="R232" i="2" s="1"/>
  <c r="S232" i="2" s="1"/>
  <c r="T232" i="2" s="1"/>
  <c r="U232" i="2" s="1"/>
  <c r="I232" i="2"/>
  <c r="AA231" i="2"/>
  <c r="W231" i="2"/>
  <c r="X231" i="2" s="1"/>
  <c r="Y231" i="2" s="1"/>
  <c r="Q231" i="2"/>
  <c r="R231" i="2" s="1"/>
  <c r="S231" i="2" s="1"/>
  <c r="T231" i="2" s="1"/>
  <c r="U231" i="2" s="1"/>
  <c r="I231" i="2"/>
  <c r="AA230" i="2"/>
  <c r="W230" i="2"/>
  <c r="X230" i="2" s="1"/>
  <c r="Y230" i="2" s="1"/>
  <c r="Q230" i="2"/>
  <c r="R230" i="2" s="1"/>
  <c r="S230" i="2" s="1"/>
  <c r="T230" i="2" s="1"/>
  <c r="U230" i="2" s="1"/>
  <c r="I230" i="2"/>
  <c r="AA229" i="2"/>
  <c r="W229" i="2"/>
  <c r="X229" i="2" s="1"/>
  <c r="Y229" i="2" s="1"/>
  <c r="Q229" i="2"/>
  <c r="R229" i="2" s="1"/>
  <c r="S229" i="2" s="1"/>
  <c r="T229" i="2" s="1"/>
  <c r="U229" i="2" s="1"/>
  <c r="I229" i="2"/>
  <c r="AA228" i="2"/>
  <c r="W228" i="2"/>
  <c r="X228" i="2" s="1"/>
  <c r="Y228" i="2" s="1"/>
  <c r="Q228" i="2"/>
  <c r="R228" i="2" s="1"/>
  <c r="S228" i="2" s="1"/>
  <c r="T228" i="2" s="1"/>
  <c r="U228" i="2" s="1"/>
  <c r="I228" i="2"/>
  <c r="AA227" i="2"/>
  <c r="W227" i="2"/>
  <c r="Q227" i="2"/>
  <c r="R227" i="2" s="1"/>
  <c r="S227" i="2" s="1"/>
  <c r="T227" i="2" s="1"/>
  <c r="U227" i="2" s="1"/>
  <c r="I227" i="2"/>
  <c r="AA226" i="2"/>
  <c r="W226" i="2"/>
  <c r="X226" i="2" s="1"/>
  <c r="Y226" i="2" s="1"/>
  <c r="Q226" i="2"/>
  <c r="R226" i="2" s="1"/>
  <c r="S226" i="2" s="1"/>
  <c r="T226" i="2" s="1"/>
  <c r="U226" i="2" s="1"/>
  <c r="I226" i="2"/>
  <c r="AA225" i="2"/>
  <c r="W225" i="2"/>
  <c r="Q225" i="2"/>
  <c r="R225" i="2" s="1"/>
  <c r="S225" i="2" s="1"/>
  <c r="T225" i="2" s="1"/>
  <c r="U225" i="2" s="1"/>
  <c r="I225" i="2"/>
  <c r="AA224" i="2"/>
  <c r="W224" i="2"/>
  <c r="X224" i="2" s="1"/>
  <c r="Q224" i="2"/>
  <c r="R224" i="2" s="1"/>
  <c r="S224" i="2" s="1"/>
  <c r="T224" i="2" s="1"/>
  <c r="U224" i="2" s="1"/>
  <c r="I224" i="2"/>
  <c r="AA223" i="2"/>
  <c r="W223" i="2"/>
  <c r="X223" i="2" s="1"/>
  <c r="Y223" i="2" s="1"/>
  <c r="Q223" i="2"/>
  <c r="R223" i="2" s="1"/>
  <c r="S223" i="2" s="1"/>
  <c r="T223" i="2" s="1"/>
  <c r="U223" i="2" s="1"/>
  <c r="I223" i="2"/>
  <c r="AA222" i="2"/>
  <c r="W222" i="2"/>
  <c r="X222" i="2" s="1"/>
  <c r="Q222" i="2"/>
  <c r="R222" i="2" s="1"/>
  <c r="S222" i="2" s="1"/>
  <c r="T222" i="2" s="1"/>
  <c r="U222" i="2" s="1"/>
  <c r="I222" i="2"/>
  <c r="AA221" i="2"/>
  <c r="W221" i="2"/>
  <c r="X221" i="2" s="1"/>
  <c r="Y221" i="2" s="1"/>
  <c r="Q221" i="2"/>
  <c r="R221" i="2" s="1"/>
  <c r="S221" i="2" s="1"/>
  <c r="T221" i="2" s="1"/>
  <c r="U221" i="2" s="1"/>
  <c r="I221" i="2"/>
  <c r="AA220" i="2"/>
  <c r="W220" i="2"/>
  <c r="X220" i="2" s="1"/>
  <c r="Q220" i="2"/>
  <c r="R220" i="2" s="1"/>
  <c r="S220" i="2" s="1"/>
  <c r="T220" i="2" s="1"/>
  <c r="U220" i="2" s="1"/>
  <c r="I220" i="2"/>
  <c r="AA219" i="2"/>
  <c r="W219" i="2"/>
  <c r="Q219" i="2"/>
  <c r="R219" i="2" s="1"/>
  <c r="S219" i="2" s="1"/>
  <c r="T219" i="2" s="1"/>
  <c r="U219" i="2" s="1"/>
  <c r="I219" i="2"/>
  <c r="AA218" i="2"/>
  <c r="W218" i="2"/>
  <c r="X218" i="2" s="1"/>
  <c r="Y218" i="2" s="1"/>
  <c r="Q218" i="2"/>
  <c r="R218" i="2" s="1"/>
  <c r="S218" i="2" s="1"/>
  <c r="T218" i="2" s="1"/>
  <c r="U218" i="2" s="1"/>
  <c r="I218" i="2"/>
  <c r="AA217" i="2"/>
  <c r="W217" i="2"/>
  <c r="Q217" i="2"/>
  <c r="R217" i="2" s="1"/>
  <c r="S217" i="2" s="1"/>
  <c r="T217" i="2" s="1"/>
  <c r="U217" i="2" s="1"/>
  <c r="I217" i="2"/>
  <c r="AA216" i="2"/>
  <c r="W216" i="2"/>
  <c r="Q216" i="2"/>
  <c r="R216" i="2" s="1"/>
  <c r="S216" i="2" s="1"/>
  <c r="T216" i="2" s="1"/>
  <c r="U216" i="2" s="1"/>
  <c r="I216" i="2"/>
  <c r="AA215" i="2"/>
  <c r="W215" i="2"/>
  <c r="X215" i="2" s="1"/>
  <c r="Y215" i="2" s="1"/>
  <c r="Q215" i="2"/>
  <c r="R215" i="2" s="1"/>
  <c r="S215" i="2" s="1"/>
  <c r="T215" i="2" s="1"/>
  <c r="U215" i="2" s="1"/>
  <c r="I215" i="2"/>
  <c r="AA214" i="2"/>
  <c r="W214" i="2"/>
  <c r="X214" i="2" s="1"/>
  <c r="Y214" i="2" s="1"/>
  <c r="Q214" i="2"/>
  <c r="R214" i="2" s="1"/>
  <c r="S214" i="2" s="1"/>
  <c r="T214" i="2" s="1"/>
  <c r="U214" i="2" s="1"/>
  <c r="I214" i="2"/>
  <c r="AA213" i="2"/>
  <c r="W213" i="2"/>
  <c r="X213" i="2" s="1"/>
  <c r="Y213" i="2" s="1"/>
  <c r="T213" i="2"/>
  <c r="U213" i="2" s="1"/>
  <c r="Q213" i="2"/>
  <c r="R213" i="2" s="1"/>
  <c r="S213" i="2" s="1"/>
  <c r="AA212" i="2"/>
  <c r="W212" i="2"/>
  <c r="Q212" i="2"/>
  <c r="R212" i="2" s="1"/>
  <c r="S212" i="2" s="1"/>
  <c r="T212" i="2" s="1"/>
  <c r="U212" i="2" s="1"/>
  <c r="I212" i="2"/>
  <c r="AA211" i="2"/>
  <c r="W211" i="2"/>
  <c r="X211" i="2" s="1"/>
  <c r="Q211" i="2"/>
  <c r="R211" i="2" s="1"/>
  <c r="S211" i="2" s="1"/>
  <c r="T211" i="2" s="1"/>
  <c r="U211" i="2" s="1"/>
  <c r="I211" i="2"/>
  <c r="AA210" i="2"/>
  <c r="W210" i="2"/>
  <c r="X210" i="2" s="1"/>
  <c r="Q210" i="2"/>
  <c r="R210" i="2" s="1"/>
  <c r="S210" i="2" s="1"/>
  <c r="T210" i="2" s="1"/>
  <c r="U210" i="2" s="1"/>
  <c r="I210" i="2"/>
  <c r="AA209" i="2"/>
  <c r="W209" i="2"/>
  <c r="X209" i="2" s="1"/>
  <c r="Q209" i="2"/>
  <c r="R209" i="2" s="1"/>
  <c r="S209" i="2" s="1"/>
  <c r="T209" i="2" s="1"/>
  <c r="U209" i="2" s="1"/>
  <c r="I209" i="2"/>
  <c r="AA208" i="2"/>
  <c r="W208" i="2"/>
  <c r="T208" i="2"/>
  <c r="U208" i="2" s="1"/>
  <c r="Q208" i="2"/>
  <c r="R208" i="2" s="1"/>
  <c r="S208" i="2" s="1"/>
  <c r="AA207" i="2"/>
  <c r="W207" i="2"/>
  <c r="Q207" i="2"/>
  <c r="R207" i="2" s="1"/>
  <c r="S207" i="2" s="1"/>
  <c r="T207" i="2" s="1"/>
  <c r="U207" i="2" s="1"/>
  <c r="I207" i="2"/>
  <c r="AA206" i="2"/>
  <c r="W206" i="2"/>
  <c r="X206" i="2" s="1"/>
  <c r="Q206" i="2"/>
  <c r="R206" i="2" s="1"/>
  <c r="S206" i="2" s="1"/>
  <c r="T206" i="2" s="1"/>
  <c r="U206" i="2" s="1"/>
  <c r="I206" i="2"/>
  <c r="AA205" i="2"/>
  <c r="W205" i="2"/>
  <c r="Q205" i="2"/>
  <c r="R205" i="2" s="1"/>
  <c r="S205" i="2" s="1"/>
  <c r="T205" i="2" s="1"/>
  <c r="U205" i="2" s="1"/>
  <c r="I205" i="2"/>
  <c r="AA204" i="2"/>
  <c r="W204" i="2"/>
  <c r="Q204" i="2"/>
  <c r="R204" i="2" s="1"/>
  <c r="S204" i="2" s="1"/>
  <c r="T204" i="2" s="1"/>
  <c r="U204" i="2" s="1"/>
  <c r="I204" i="2"/>
  <c r="AA203" i="2"/>
  <c r="W203" i="2"/>
  <c r="T203" i="2"/>
  <c r="U203" i="2" s="1"/>
  <c r="Q203" i="2"/>
  <c r="R203" i="2" s="1"/>
  <c r="S203" i="2" s="1"/>
  <c r="AA202" i="2"/>
  <c r="W202" i="2"/>
  <c r="X202" i="2" s="1"/>
  <c r="Y202" i="2" s="1"/>
  <c r="Q202" i="2"/>
  <c r="R202" i="2" s="1"/>
  <c r="S202" i="2" s="1"/>
  <c r="T202" i="2" s="1"/>
  <c r="U202" i="2" s="1"/>
  <c r="I202" i="2"/>
  <c r="AA201" i="2"/>
  <c r="W201" i="2"/>
  <c r="Q201" i="2"/>
  <c r="R201" i="2" s="1"/>
  <c r="S201" i="2" s="1"/>
  <c r="T201" i="2" s="1"/>
  <c r="U201" i="2" s="1"/>
  <c r="I201" i="2"/>
  <c r="AA200" i="2"/>
  <c r="W200" i="2"/>
  <c r="X200" i="2" s="1"/>
  <c r="Y200" i="2" s="1"/>
  <c r="Q200" i="2"/>
  <c r="R200" i="2" s="1"/>
  <c r="S200" i="2" s="1"/>
  <c r="T200" i="2" s="1"/>
  <c r="U200" i="2" s="1"/>
  <c r="I200" i="2"/>
  <c r="AA199" i="2"/>
  <c r="W199" i="2"/>
  <c r="Q199" i="2"/>
  <c r="R199" i="2" s="1"/>
  <c r="S199" i="2" s="1"/>
  <c r="T199" i="2" s="1"/>
  <c r="U199" i="2" s="1"/>
  <c r="I199" i="2"/>
  <c r="AA198" i="2"/>
  <c r="W198" i="2"/>
  <c r="X198" i="2" s="1"/>
  <c r="Q198" i="2"/>
  <c r="R198" i="2" s="1"/>
  <c r="S198" i="2" s="1"/>
  <c r="T198" i="2" s="1"/>
  <c r="U198" i="2" s="1"/>
  <c r="I198" i="2"/>
  <c r="AA197" i="2"/>
  <c r="W197" i="2"/>
  <c r="Q197" i="2"/>
  <c r="R197" i="2" s="1"/>
  <c r="S197" i="2" s="1"/>
  <c r="T197" i="2" s="1"/>
  <c r="U197" i="2" s="1"/>
  <c r="I197" i="2"/>
  <c r="AA196" i="2"/>
  <c r="W196" i="2"/>
  <c r="X196" i="2" s="1"/>
  <c r="Y196" i="2" s="1"/>
  <c r="Q196" i="2"/>
  <c r="R196" i="2" s="1"/>
  <c r="S196" i="2" s="1"/>
  <c r="T196" i="2" s="1"/>
  <c r="U196" i="2" s="1"/>
  <c r="I196" i="2"/>
  <c r="AA195" i="2"/>
  <c r="W195" i="2"/>
  <c r="T195" i="2"/>
  <c r="U195" i="2" s="1"/>
  <c r="Q195" i="2"/>
  <c r="R195" i="2" s="1"/>
  <c r="S195" i="2" s="1"/>
  <c r="AA194" i="2"/>
  <c r="W194" i="2"/>
  <c r="X194" i="2" s="1"/>
  <c r="Y194" i="2" s="1"/>
  <c r="Q194" i="2"/>
  <c r="R194" i="2" s="1"/>
  <c r="S194" i="2" s="1"/>
  <c r="T194" i="2" s="1"/>
  <c r="U194" i="2" s="1"/>
  <c r="I194" i="2"/>
  <c r="AA193" i="2"/>
  <c r="W193" i="2"/>
  <c r="Q193" i="2"/>
  <c r="R193" i="2" s="1"/>
  <c r="S193" i="2" s="1"/>
  <c r="T193" i="2" s="1"/>
  <c r="U193" i="2" s="1"/>
  <c r="I193" i="2"/>
  <c r="AA192" i="2"/>
  <c r="W192" i="2"/>
  <c r="X192" i="2" s="1"/>
  <c r="Y192" i="2" s="1"/>
  <c r="Q192" i="2"/>
  <c r="R192" i="2" s="1"/>
  <c r="S192" i="2" s="1"/>
  <c r="T192" i="2" s="1"/>
  <c r="U192" i="2" s="1"/>
  <c r="I192" i="2"/>
  <c r="AA191" i="2"/>
  <c r="W191" i="2"/>
  <c r="X191" i="2" s="1"/>
  <c r="Q191" i="2"/>
  <c r="R191" i="2" s="1"/>
  <c r="S191" i="2" s="1"/>
  <c r="T191" i="2" s="1"/>
  <c r="U191" i="2" s="1"/>
  <c r="I191" i="2"/>
  <c r="AA190" i="2"/>
  <c r="W190" i="2"/>
  <c r="Q190" i="2"/>
  <c r="R190" i="2" s="1"/>
  <c r="S190" i="2" s="1"/>
  <c r="T190" i="2" s="1"/>
  <c r="U190" i="2" s="1"/>
  <c r="I190" i="2"/>
  <c r="AA189" i="2"/>
  <c r="W189" i="2"/>
  <c r="X189" i="2" s="1"/>
  <c r="Y189" i="2" s="1"/>
  <c r="Q189" i="2"/>
  <c r="R189" i="2" s="1"/>
  <c r="S189" i="2" s="1"/>
  <c r="T189" i="2" s="1"/>
  <c r="U189" i="2" s="1"/>
  <c r="I189" i="2"/>
  <c r="AA188" i="2"/>
  <c r="W188" i="2"/>
  <c r="Q188" i="2"/>
  <c r="R188" i="2" s="1"/>
  <c r="S188" i="2" s="1"/>
  <c r="T188" i="2" s="1"/>
  <c r="U188" i="2" s="1"/>
  <c r="I188" i="2"/>
  <c r="AA187" i="2"/>
  <c r="W187" i="2"/>
  <c r="X187" i="2" s="1"/>
  <c r="Y187" i="2" s="1"/>
  <c r="Q187" i="2"/>
  <c r="R187" i="2" s="1"/>
  <c r="S187" i="2" s="1"/>
  <c r="T187" i="2" s="1"/>
  <c r="U187" i="2" s="1"/>
  <c r="I187" i="2"/>
  <c r="AA186" i="2"/>
  <c r="W186" i="2"/>
  <c r="X186" i="2" s="1"/>
  <c r="Y186" i="2" s="1"/>
  <c r="T186" i="2"/>
  <c r="U186" i="2" s="1"/>
  <c r="Q186" i="2"/>
  <c r="R186" i="2" s="1"/>
  <c r="S186" i="2" s="1"/>
  <c r="AA185" i="2"/>
  <c r="W185" i="2"/>
  <c r="R185" i="2"/>
  <c r="S185" i="2" s="1"/>
  <c r="T185" i="2" s="1"/>
  <c r="U185" i="2" s="1"/>
  <c r="Q185" i="2"/>
  <c r="I185" i="2"/>
  <c r="AA184" i="2"/>
  <c r="W184" i="2"/>
  <c r="Q184" i="2"/>
  <c r="R184" i="2" s="1"/>
  <c r="S184" i="2" s="1"/>
  <c r="T184" i="2" s="1"/>
  <c r="U184" i="2" s="1"/>
  <c r="I184" i="2"/>
  <c r="AA183" i="2"/>
  <c r="W183" i="2"/>
  <c r="X183" i="2" s="1"/>
  <c r="Q183" i="2"/>
  <c r="R183" i="2" s="1"/>
  <c r="S183" i="2" s="1"/>
  <c r="T183" i="2" s="1"/>
  <c r="U183" i="2" s="1"/>
  <c r="I183" i="2"/>
  <c r="AA182" i="2"/>
  <c r="W182" i="2"/>
  <c r="Q182" i="2"/>
  <c r="R182" i="2" s="1"/>
  <c r="S182" i="2" s="1"/>
  <c r="T182" i="2" s="1"/>
  <c r="U182" i="2" s="1"/>
  <c r="I182" i="2"/>
  <c r="AA181" i="2"/>
  <c r="W181" i="2"/>
  <c r="X181" i="2" s="1"/>
  <c r="Q181" i="2"/>
  <c r="R181" i="2" s="1"/>
  <c r="S181" i="2" s="1"/>
  <c r="T181" i="2" s="1"/>
  <c r="U181" i="2" s="1"/>
  <c r="I181" i="2"/>
  <c r="AA180" i="2"/>
  <c r="W180" i="2"/>
  <c r="Q180" i="2"/>
  <c r="R180" i="2" s="1"/>
  <c r="S180" i="2" s="1"/>
  <c r="T180" i="2" s="1"/>
  <c r="U180" i="2" s="1"/>
  <c r="I180" i="2"/>
  <c r="AA179" i="2"/>
  <c r="W179" i="2"/>
  <c r="X179" i="2" s="1"/>
  <c r="Q179" i="2"/>
  <c r="R179" i="2" s="1"/>
  <c r="S179" i="2" s="1"/>
  <c r="T179" i="2" s="1"/>
  <c r="U179" i="2" s="1"/>
  <c r="I179" i="2"/>
  <c r="AA178" i="2"/>
  <c r="W178" i="2"/>
  <c r="Q178" i="2"/>
  <c r="R178" i="2" s="1"/>
  <c r="S178" i="2" s="1"/>
  <c r="T178" i="2" s="1"/>
  <c r="U178" i="2" s="1"/>
  <c r="I178" i="2"/>
  <c r="AA177" i="2"/>
  <c r="W177" i="2"/>
  <c r="Q177" i="2"/>
  <c r="R177" i="2" s="1"/>
  <c r="S177" i="2" s="1"/>
  <c r="T177" i="2" s="1"/>
  <c r="U177" i="2" s="1"/>
  <c r="I177" i="2"/>
  <c r="AA176" i="2"/>
  <c r="W176" i="2"/>
  <c r="X176" i="2" s="1"/>
  <c r="Q176" i="2"/>
  <c r="R176" i="2" s="1"/>
  <c r="S176" i="2" s="1"/>
  <c r="T176" i="2" s="1"/>
  <c r="U176" i="2" s="1"/>
  <c r="I176" i="2"/>
  <c r="AA175" i="2"/>
  <c r="W175" i="2"/>
  <c r="X175" i="2" s="1"/>
  <c r="T175" i="2"/>
  <c r="U175" i="2" s="1"/>
  <c r="Q175" i="2"/>
  <c r="R175" i="2" s="1"/>
  <c r="S175" i="2" s="1"/>
  <c r="AA174" i="2"/>
  <c r="W174" i="2"/>
  <c r="X174" i="2" s="1"/>
  <c r="Q174" i="2"/>
  <c r="R174" i="2" s="1"/>
  <c r="S174" i="2" s="1"/>
  <c r="T174" i="2" s="1"/>
  <c r="U174" i="2" s="1"/>
  <c r="I174" i="2"/>
  <c r="AA173" i="2"/>
  <c r="W173" i="2"/>
  <c r="Q173" i="2"/>
  <c r="R173" i="2" s="1"/>
  <c r="S173" i="2" s="1"/>
  <c r="T173" i="2" s="1"/>
  <c r="U173" i="2" s="1"/>
  <c r="I173" i="2"/>
  <c r="AA172" i="2"/>
  <c r="W172" i="2"/>
  <c r="X172" i="2" s="1"/>
  <c r="Q172" i="2"/>
  <c r="R172" i="2" s="1"/>
  <c r="S172" i="2" s="1"/>
  <c r="T172" i="2" s="1"/>
  <c r="U172" i="2" s="1"/>
  <c r="I172" i="2"/>
  <c r="AA171" i="2"/>
  <c r="W171" i="2"/>
  <c r="Q171" i="2"/>
  <c r="R171" i="2" s="1"/>
  <c r="S171" i="2" s="1"/>
  <c r="T171" i="2" s="1"/>
  <c r="U171" i="2" s="1"/>
  <c r="I171" i="2"/>
  <c r="AA170" i="2"/>
  <c r="W170" i="2"/>
  <c r="Q170" i="2"/>
  <c r="R170" i="2" s="1"/>
  <c r="S170" i="2" s="1"/>
  <c r="T170" i="2" s="1"/>
  <c r="U170" i="2" s="1"/>
  <c r="I170" i="2"/>
  <c r="AA169" i="2"/>
  <c r="W169" i="2"/>
  <c r="X169" i="2" s="1"/>
  <c r="Y169" i="2" s="1"/>
  <c r="Q169" i="2"/>
  <c r="R169" i="2" s="1"/>
  <c r="S169" i="2" s="1"/>
  <c r="T169" i="2" s="1"/>
  <c r="U169" i="2" s="1"/>
  <c r="I169" i="2"/>
  <c r="AA168" i="2"/>
  <c r="W168" i="2"/>
  <c r="X168" i="2" s="1"/>
  <c r="Q168" i="2"/>
  <c r="R168" i="2" s="1"/>
  <c r="S168" i="2" s="1"/>
  <c r="T168" i="2" s="1"/>
  <c r="U168" i="2" s="1"/>
  <c r="I168" i="2"/>
  <c r="AA167" i="2"/>
  <c r="W167" i="2"/>
  <c r="Q167" i="2"/>
  <c r="R167" i="2" s="1"/>
  <c r="S167" i="2" s="1"/>
  <c r="T167" i="2" s="1"/>
  <c r="U167" i="2" s="1"/>
  <c r="I167" i="2"/>
  <c r="AA166" i="2"/>
  <c r="W166" i="2"/>
  <c r="Q166" i="2"/>
  <c r="R166" i="2" s="1"/>
  <c r="S166" i="2" s="1"/>
  <c r="T166" i="2" s="1"/>
  <c r="U166" i="2" s="1"/>
  <c r="I166" i="2"/>
  <c r="AA165" i="2"/>
  <c r="W165" i="2"/>
  <c r="X165" i="2" s="1"/>
  <c r="Y165" i="2" s="1"/>
  <c r="T165" i="2"/>
  <c r="U165" i="2" s="1"/>
  <c r="Q165" i="2"/>
  <c r="R165" i="2" s="1"/>
  <c r="S165" i="2" s="1"/>
  <c r="AA164" i="2"/>
  <c r="W164" i="2"/>
  <c r="X164" i="2" s="1"/>
  <c r="Q164" i="2"/>
  <c r="R164" i="2" s="1"/>
  <c r="S164" i="2" s="1"/>
  <c r="T164" i="2" s="1"/>
  <c r="U164" i="2" s="1"/>
  <c r="I164" i="2"/>
  <c r="AA163" i="2"/>
  <c r="W163" i="2"/>
  <c r="Q163" i="2"/>
  <c r="R163" i="2" s="1"/>
  <c r="S163" i="2" s="1"/>
  <c r="T163" i="2" s="1"/>
  <c r="U163" i="2" s="1"/>
  <c r="I163" i="2"/>
  <c r="AA162" i="2"/>
  <c r="W162" i="2"/>
  <c r="Q162" i="2"/>
  <c r="R162" i="2" s="1"/>
  <c r="S162" i="2" s="1"/>
  <c r="T162" i="2" s="1"/>
  <c r="U162" i="2" s="1"/>
  <c r="I162" i="2"/>
  <c r="AA161" i="2"/>
  <c r="X161" i="2"/>
  <c r="W161" i="2"/>
  <c r="Q161" i="2"/>
  <c r="R161" i="2" s="1"/>
  <c r="S161" i="2" s="1"/>
  <c r="T161" i="2" s="1"/>
  <c r="U161" i="2" s="1"/>
  <c r="I161" i="2"/>
  <c r="AA160" i="2"/>
  <c r="W160" i="2"/>
  <c r="Q160" i="2"/>
  <c r="R160" i="2" s="1"/>
  <c r="S160" i="2" s="1"/>
  <c r="T160" i="2" s="1"/>
  <c r="U160" i="2" s="1"/>
  <c r="I160" i="2"/>
  <c r="AA159" i="2"/>
  <c r="W159" i="2"/>
  <c r="X159" i="2" s="1"/>
  <c r="Y159" i="2" s="1"/>
  <c r="Q159" i="2"/>
  <c r="R159" i="2" s="1"/>
  <c r="S159" i="2" s="1"/>
  <c r="T159" i="2" s="1"/>
  <c r="U159" i="2" s="1"/>
  <c r="I159" i="2"/>
  <c r="AA158" i="2"/>
  <c r="W158" i="2"/>
  <c r="Q158" i="2"/>
  <c r="R158" i="2" s="1"/>
  <c r="S158" i="2" s="1"/>
  <c r="T158" i="2" s="1"/>
  <c r="U158" i="2" s="1"/>
  <c r="I158" i="2"/>
  <c r="AA157" i="2"/>
  <c r="W157" i="2"/>
  <c r="Q157" i="2"/>
  <c r="R157" i="2" s="1"/>
  <c r="S157" i="2" s="1"/>
  <c r="T157" i="2" s="1"/>
  <c r="U157" i="2" s="1"/>
  <c r="I157" i="2"/>
  <c r="AA156" i="2"/>
  <c r="W156" i="2"/>
  <c r="X156" i="2" s="1"/>
  <c r="Q156" i="2"/>
  <c r="R156" i="2" s="1"/>
  <c r="S156" i="2" s="1"/>
  <c r="T156" i="2" s="1"/>
  <c r="U156" i="2" s="1"/>
  <c r="I156" i="2"/>
  <c r="AA155" i="2"/>
  <c r="W155" i="2"/>
  <c r="Q155" i="2"/>
  <c r="R155" i="2" s="1"/>
  <c r="S155" i="2" s="1"/>
  <c r="T155" i="2" s="1"/>
  <c r="U155" i="2" s="1"/>
  <c r="I155" i="2"/>
  <c r="AA154" i="2"/>
  <c r="W154" i="2"/>
  <c r="X154" i="2" s="1"/>
  <c r="Q154" i="2"/>
  <c r="R154" i="2" s="1"/>
  <c r="S154" i="2" s="1"/>
  <c r="T154" i="2" s="1"/>
  <c r="U154" i="2" s="1"/>
  <c r="I154" i="2"/>
  <c r="AA153" i="2"/>
  <c r="W153" i="2"/>
  <c r="X153" i="2" s="1"/>
  <c r="Y153" i="2" s="1"/>
  <c r="Q153" i="2"/>
  <c r="R153" i="2" s="1"/>
  <c r="S153" i="2" s="1"/>
  <c r="T153" i="2" s="1"/>
  <c r="U153" i="2" s="1"/>
  <c r="I153" i="2"/>
  <c r="AA152" i="2"/>
  <c r="W152" i="2"/>
  <c r="Q152" i="2"/>
  <c r="R152" i="2" s="1"/>
  <c r="S152" i="2" s="1"/>
  <c r="T152" i="2" s="1"/>
  <c r="U152" i="2" s="1"/>
  <c r="I152" i="2"/>
  <c r="AA151" i="2"/>
  <c r="W151" i="2"/>
  <c r="X151" i="2" s="1"/>
  <c r="Y151" i="2" s="1"/>
  <c r="Q151" i="2"/>
  <c r="R151" i="2" s="1"/>
  <c r="S151" i="2" s="1"/>
  <c r="T151" i="2" s="1"/>
  <c r="U151" i="2" s="1"/>
  <c r="I151" i="2"/>
  <c r="AA150" i="2"/>
  <c r="W150" i="2"/>
  <c r="Q150" i="2"/>
  <c r="R150" i="2" s="1"/>
  <c r="S150" i="2" s="1"/>
  <c r="T150" i="2" s="1"/>
  <c r="U150" i="2" s="1"/>
  <c r="I150" i="2"/>
  <c r="AA149" i="2"/>
  <c r="W149" i="2"/>
  <c r="X149" i="2" s="1"/>
  <c r="Y149" i="2" s="1"/>
  <c r="Q149" i="2"/>
  <c r="R149" i="2" s="1"/>
  <c r="S149" i="2" s="1"/>
  <c r="T149" i="2" s="1"/>
  <c r="U149" i="2" s="1"/>
  <c r="I149" i="2"/>
  <c r="AA148" i="2"/>
  <c r="W148" i="2"/>
  <c r="Q148" i="2"/>
  <c r="R148" i="2" s="1"/>
  <c r="S148" i="2" s="1"/>
  <c r="T148" i="2" s="1"/>
  <c r="U148" i="2" s="1"/>
  <c r="I148" i="2"/>
  <c r="AA147" i="2"/>
  <c r="W147" i="2"/>
  <c r="X147" i="2" s="1"/>
  <c r="Q147" i="2"/>
  <c r="R147" i="2" s="1"/>
  <c r="S147" i="2" s="1"/>
  <c r="T147" i="2" s="1"/>
  <c r="U147" i="2" s="1"/>
  <c r="I147" i="2"/>
  <c r="AA146" i="2"/>
  <c r="W146" i="2"/>
  <c r="X146" i="2" s="1"/>
  <c r="Q146" i="2"/>
  <c r="R146" i="2" s="1"/>
  <c r="S146" i="2" s="1"/>
  <c r="T146" i="2" s="1"/>
  <c r="U146" i="2" s="1"/>
  <c r="I146" i="2"/>
  <c r="AA145" i="2"/>
  <c r="W145" i="2"/>
  <c r="Q145" i="2"/>
  <c r="R145" i="2" s="1"/>
  <c r="S145" i="2" s="1"/>
  <c r="T145" i="2" s="1"/>
  <c r="U145" i="2" s="1"/>
  <c r="I145" i="2"/>
  <c r="AA144" i="2"/>
  <c r="W144" i="2"/>
  <c r="Q144" i="2"/>
  <c r="R144" i="2" s="1"/>
  <c r="S144" i="2" s="1"/>
  <c r="T144" i="2" s="1"/>
  <c r="U144" i="2" s="1"/>
  <c r="I144" i="2"/>
  <c r="AA143" i="2"/>
  <c r="W143" i="2"/>
  <c r="X143" i="2" s="1"/>
  <c r="Y143" i="2" s="1"/>
  <c r="Q143" i="2"/>
  <c r="R143" i="2" s="1"/>
  <c r="S143" i="2" s="1"/>
  <c r="T143" i="2" s="1"/>
  <c r="U143" i="2" s="1"/>
  <c r="I143" i="2"/>
  <c r="AA142" i="2"/>
  <c r="W142" i="2"/>
  <c r="Q142" i="2"/>
  <c r="R142" i="2" s="1"/>
  <c r="S142" i="2" s="1"/>
  <c r="T142" i="2" s="1"/>
  <c r="U142" i="2" s="1"/>
  <c r="I142" i="2"/>
  <c r="AA141" i="2"/>
  <c r="W141" i="2"/>
  <c r="Q141" i="2"/>
  <c r="R141" i="2" s="1"/>
  <c r="S141" i="2" s="1"/>
  <c r="T141" i="2" s="1"/>
  <c r="U141" i="2" s="1"/>
  <c r="I141" i="2"/>
  <c r="AA140" i="2"/>
  <c r="W140" i="2"/>
  <c r="Q140" i="2"/>
  <c r="R140" i="2" s="1"/>
  <c r="S140" i="2" s="1"/>
  <c r="T140" i="2" s="1"/>
  <c r="U140" i="2" s="1"/>
  <c r="I140" i="2"/>
  <c r="AA139" i="2"/>
  <c r="W139" i="2"/>
  <c r="X139" i="2" s="1"/>
  <c r="Q139" i="2"/>
  <c r="R139" i="2" s="1"/>
  <c r="S139" i="2" s="1"/>
  <c r="T139" i="2" s="1"/>
  <c r="U139" i="2" s="1"/>
  <c r="I139" i="2"/>
  <c r="AA138" i="2"/>
  <c r="W138" i="2"/>
  <c r="X138" i="2" s="1"/>
  <c r="Q138" i="2"/>
  <c r="R138" i="2" s="1"/>
  <c r="S138" i="2" s="1"/>
  <c r="T138" i="2" s="1"/>
  <c r="U138" i="2" s="1"/>
  <c r="I138" i="2"/>
  <c r="AA137" i="2"/>
  <c r="W137" i="2"/>
  <c r="X137" i="2" s="1"/>
  <c r="Q137" i="2"/>
  <c r="R137" i="2" s="1"/>
  <c r="S137" i="2" s="1"/>
  <c r="T137" i="2" s="1"/>
  <c r="U137" i="2" s="1"/>
  <c r="I137" i="2"/>
  <c r="AA136" i="2"/>
  <c r="W136" i="2"/>
  <c r="Q136" i="2"/>
  <c r="R136" i="2" s="1"/>
  <c r="S136" i="2" s="1"/>
  <c r="T136" i="2" s="1"/>
  <c r="U136" i="2" s="1"/>
  <c r="I136" i="2"/>
  <c r="AA135" i="2"/>
  <c r="W135" i="2"/>
  <c r="X135" i="2" s="1"/>
  <c r="Y135" i="2" s="1"/>
  <c r="Q135" i="2"/>
  <c r="R135" i="2" s="1"/>
  <c r="S135" i="2" s="1"/>
  <c r="T135" i="2" s="1"/>
  <c r="U135" i="2" s="1"/>
  <c r="I135" i="2"/>
  <c r="AA134" i="2"/>
  <c r="W134" i="2"/>
  <c r="X134" i="2" s="1"/>
  <c r="T134" i="2"/>
  <c r="U134" i="2" s="1"/>
  <c r="Q134" i="2"/>
  <c r="R134" i="2" s="1"/>
  <c r="S134" i="2" s="1"/>
  <c r="AA133" i="2"/>
  <c r="W133" i="2"/>
  <c r="X133" i="2" s="1"/>
  <c r="Y133" i="2" s="1"/>
  <c r="Q133" i="2"/>
  <c r="R133" i="2" s="1"/>
  <c r="S133" i="2" s="1"/>
  <c r="T133" i="2" s="1"/>
  <c r="U133" i="2" s="1"/>
  <c r="I133" i="2"/>
  <c r="AA132" i="2"/>
  <c r="W132" i="2"/>
  <c r="X132" i="2" s="1"/>
  <c r="Y132" i="2" s="1"/>
  <c r="Q132" i="2"/>
  <c r="R132" i="2" s="1"/>
  <c r="S132" i="2" s="1"/>
  <c r="T132" i="2" s="1"/>
  <c r="U132" i="2" s="1"/>
  <c r="I132" i="2"/>
  <c r="AA131" i="2"/>
  <c r="W131" i="2"/>
  <c r="Q131" i="2"/>
  <c r="R131" i="2" s="1"/>
  <c r="S131" i="2" s="1"/>
  <c r="T131" i="2" s="1"/>
  <c r="U131" i="2" s="1"/>
  <c r="I131" i="2"/>
  <c r="AA130" i="2"/>
  <c r="W130" i="2"/>
  <c r="X130" i="2" s="1"/>
  <c r="Y130" i="2" s="1"/>
  <c r="Q130" i="2"/>
  <c r="R130" i="2" s="1"/>
  <c r="S130" i="2" s="1"/>
  <c r="T130" i="2" s="1"/>
  <c r="U130" i="2" s="1"/>
  <c r="I130" i="2"/>
  <c r="AA129" i="2"/>
  <c r="W129" i="2"/>
  <c r="Q129" i="2"/>
  <c r="R129" i="2" s="1"/>
  <c r="S129" i="2" s="1"/>
  <c r="T129" i="2" s="1"/>
  <c r="U129" i="2" s="1"/>
  <c r="I129" i="2"/>
  <c r="AA128" i="2"/>
  <c r="W128" i="2"/>
  <c r="X128" i="2" s="1"/>
  <c r="Y128" i="2" s="1"/>
  <c r="Q128" i="2"/>
  <c r="R128" i="2" s="1"/>
  <c r="S128" i="2" s="1"/>
  <c r="T128" i="2" s="1"/>
  <c r="U128" i="2" s="1"/>
  <c r="I128" i="2"/>
  <c r="AA127" i="2"/>
  <c r="W127" i="2"/>
  <c r="Q127" i="2"/>
  <c r="R127" i="2" s="1"/>
  <c r="S127" i="2" s="1"/>
  <c r="T127" i="2" s="1"/>
  <c r="U127" i="2" s="1"/>
  <c r="I127" i="2"/>
  <c r="AA126" i="2"/>
  <c r="W126" i="2"/>
  <c r="X126" i="2" s="1"/>
  <c r="Q126" i="2"/>
  <c r="R126" i="2" s="1"/>
  <c r="S126" i="2" s="1"/>
  <c r="T126" i="2" s="1"/>
  <c r="U126" i="2" s="1"/>
  <c r="I126" i="2"/>
  <c r="AA125" i="2"/>
  <c r="W125" i="2"/>
  <c r="X125" i="2" s="1"/>
  <c r="Q125" i="2"/>
  <c r="R125" i="2" s="1"/>
  <c r="S125" i="2" s="1"/>
  <c r="T125" i="2" s="1"/>
  <c r="U125" i="2" s="1"/>
  <c r="I125" i="2"/>
  <c r="AA124" i="2"/>
  <c r="W124" i="2"/>
  <c r="Q124" i="2"/>
  <c r="R124" i="2" s="1"/>
  <c r="S124" i="2" s="1"/>
  <c r="T124" i="2" s="1"/>
  <c r="U124" i="2" s="1"/>
  <c r="I124" i="2"/>
  <c r="AA123" i="2"/>
  <c r="W123" i="2"/>
  <c r="X123" i="2" s="1"/>
  <c r="Q123" i="2"/>
  <c r="R123" i="2" s="1"/>
  <c r="S123" i="2" s="1"/>
  <c r="T123" i="2" s="1"/>
  <c r="U123" i="2" s="1"/>
  <c r="I123" i="2"/>
  <c r="AA122" i="2"/>
  <c r="W122" i="2"/>
  <c r="Q122" i="2"/>
  <c r="R122" i="2" s="1"/>
  <c r="S122" i="2" s="1"/>
  <c r="T122" i="2" s="1"/>
  <c r="U122" i="2" s="1"/>
  <c r="I122" i="2"/>
  <c r="AA121" i="2"/>
  <c r="W121" i="2"/>
  <c r="Q121" i="2"/>
  <c r="R121" i="2" s="1"/>
  <c r="S121" i="2" s="1"/>
  <c r="T121" i="2" s="1"/>
  <c r="U121" i="2" s="1"/>
  <c r="I121" i="2"/>
  <c r="AA120" i="2"/>
  <c r="W120" i="2"/>
  <c r="X120" i="2" s="1"/>
  <c r="Q120" i="2"/>
  <c r="R120" i="2" s="1"/>
  <c r="S120" i="2" s="1"/>
  <c r="T120" i="2" s="1"/>
  <c r="U120" i="2" s="1"/>
  <c r="I120" i="2"/>
  <c r="AA119" i="2"/>
  <c r="W119" i="2"/>
  <c r="Q119" i="2"/>
  <c r="R119" i="2" s="1"/>
  <c r="S119" i="2" s="1"/>
  <c r="T119" i="2" s="1"/>
  <c r="U119" i="2" s="1"/>
  <c r="I119" i="2"/>
  <c r="AA118" i="2"/>
  <c r="W118" i="2"/>
  <c r="Q118" i="2"/>
  <c r="R118" i="2" s="1"/>
  <c r="S118" i="2" s="1"/>
  <c r="T118" i="2" s="1"/>
  <c r="U118" i="2" s="1"/>
  <c r="I118" i="2"/>
  <c r="AA117" i="2"/>
  <c r="W117" i="2"/>
  <c r="Q117" i="2"/>
  <c r="R117" i="2" s="1"/>
  <c r="S117" i="2" s="1"/>
  <c r="T117" i="2" s="1"/>
  <c r="U117" i="2" s="1"/>
  <c r="I117" i="2"/>
  <c r="AA116" i="2"/>
  <c r="W116" i="2"/>
  <c r="X116" i="2" s="1"/>
  <c r="Q116" i="2"/>
  <c r="R116" i="2" s="1"/>
  <c r="S116" i="2" s="1"/>
  <c r="T116" i="2" s="1"/>
  <c r="U116" i="2" s="1"/>
  <c r="I116" i="2"/>
  <c r="AA115" i="2"/>
  <c r="W115" i="2"/>
  <c r="Q115" i="2"/>
  <c r="R115" i="2" s="1"/>
  <c r="S115" i="2" s="1"/>
  <c r="T115" i="2" s="1"/>
  <c r="U115" i="2" s="1"/>
  <c r="I115" i="2"/>
  <c r="AA114" i="2"/>
  <c r="W114" i="2"/>
  <c r="X114" i="2" s="1"/>
  <c r="Q114" i="2"/>
  <c r="R114" i="2" s="1"/>
  <c r="S114" i="2" s="1"/>
  <c r="T114" i="2" s="1"/>
  <c r="U114" i="2" s="1"/>
  <c r="I114" i="2"/>
  <c r="AA113" i="2"/>
  <c r="W113" i="2"/>
  <c r="Q113" i="2"/>
  <c r="R113" i="2" s="1"/>
  <c r="S113" i="2" s="1"/>
  <c r="T113" i="2" s="1"/>
  <c r="U113" i="2" s="1"/>
  <c r="I113" i="2"/>
  <c r="AA112" i="2"/>
  <c r="W112" i="2"/>
  <c r="X112" i="2" s="1"/>
  <c r="Q112" i="2"/>
  <c r="R112" i="2" s="1"/>
  <c r="S112" i="2" s="1"/>
  <c r="T112" i="2" s="1"/>
  <c r="U112" i="2" s="1"/>
  <c r="I112" i="2"/>
  <c r="AA111" i="2"/>
  <c r="W111" i="2"/>
  <c r="Q111" i="2"/>
  <c r="R111" i="2" s="1"/>
  <c r="S111" i="2" s="1"/>
  <c r="T111" i="2" s="1"/>
  <c r="U111" i="2" s="1"/>
  <c r="I111" i="2"/>
  <c r="AA110" i="2"/>
  <c r="W110" i="2"/>
  <c r="X110" i="2" s="1"/>
  <c r="Q110" i="2"/>
  <c r="R110" i="2" s="1"/>
  <c r="S110" i="2" s="1"/>
  <c r="T110" i="2" s="1"/>
  <c r="U110" i="2" s="1"/>
  <c r="I110" i="2"/>
  <c r="AA109" i="2"/>
  <c r="W109" i="2"/>
  <c r="X109" i="2" s="1"/>
  <c r="Q109" i="2"/>
  <c r="R109" i="2" s="1"/>
  <c r="S109" i="2" s="1"/>
  <c r="T109" i="2" s="1"/>
  <c r="U109" i="2" s="1"/>
  <c r="I109" i="2"/>
  <c r="AA108" i="2"/>
  <c r="W108" i="2"/>
  <c r="Q108" i="2"/>
  <c r="R108" i="2" s="1"/>
  <c r="S108" i="2" s="1"/>
  <c r="T108" i="2" s="1"/>
  <c r="U108" i="2" s="1"/>
  <c r="I108" i="2"/>
  <c r="AA107" i="2"/>
  <c r="W107" i="2"/>
  <c r="X107" i="2" s="1"/>
  <c r="T107" i="2"/>
  <c r="U107" i="2" s="1"/>
  <c r="Q107" i="2"/>
  <c r="R107" i="2" s="1"/>
  <c r="S107" i="2" s="1"/>
  <c r="AA106" i="2"/>
  <c r="W106" i="2"/>
  <c r="X106" i="2" s="1"/>
  <c r="Q106" i="2"/>
  <c r="R106" i="2" s="1"/>
  <c r="S106" i="2" s="1"/>
  <c r="T106" i="2" s="1"/>
  <c r="U106" i="2" s="1"/>
  <c r="I106" i="2"/>
  <c r="AA105" i="2"/>
  <c r="W105" i="2"/>
  <c r="Q105" i="2"/>
  <c r="R105" i="2" s="1"/>
  <c r="S105" i="2" s="1"/>
  <c r="T105" i="2" s="1"/>
  <c r="U105" i="2" s="1"/>
  <c r="I105" i="2"/>
  <c r="AA104" i="2"/>
  <c r="W104" i="2"/>
  <c r="X104" i="2" s="1"/>
  <c r="Y104" i="2" s="1"/>
  <c r="Q104" i="2"/>
  <c r="R104" i="2" s="1"/>
  <c r="S104" i="2" s="1"/>
  <c r="T104" i="2" s="1"/>
  <c r="U104" i="2" s="1"/>
  <c r="I104" i="2"/>
  <c r="AA103" i="2"/>
  <c r="W103" i="2"/>
  <c r="T103" i="2"/>
  <c r="U103" i="2" s="1"/>
  <c r="Q103" i="2"/>
  <c r="R103" i="2" s="1"/>
  <c r="S103" i="2" s="1"/>
  <c r="AA102" i="2"/>
  <c r="W102" i="2"/>
  <c r="X102" i="2" s="1"/>
  <c r="Y102" i="2" s="1"/>
  <c r="Q102" i="2"/>
  <c r="R102" i="2" s="1"/>
  <c r="S102" i="2" s="1"/>
  <c r="T102" i="2" s="1"/>
  <c r="U102" i="2" s="1"/>
  <c r="I102" i="2"/>
  <c r="AA101" i="2"/>
  <c r="W101" i="2"/>
  <c r="X101" i="2" s="1"/>
  <c r="Y101" i="2" s="1"/>
  <c r="Q101" i="2"/>
  <c r="R101" i="2" s="1"/>
  <c r="S101" i="2" s="1"/>
  <c r="T101" i="2" s="1"/>
  <c r="U101" i="2" s="1"/>
  <c r="I101" i="2"/>
  <c r="AA100" i="2"/>
  <c r="W100" i="2"/>
  <c r="X100" i="2" s="1"/>
  <c r="Y100" i="2" s="1"/>
  <c r="Q100" i="2"/>
  <c r="R100" i="2" s="1"/>
  <c r="S100" i="2" s="1"/>
  <c r="T100" i="2" s="1"/>
  <c r="U100" i="2" s="1"/>
  <c r="I100" i="2"/>
  <c r="AA99" i="2"/>
  <c r="W99" i="2"/>
  <c r="X99" i="2" s="1"/>
  <c r="Y99" i="2" s="1"/>
  <c r="Q99" i="2"/>
  <c r="R99" i="2" s="1"/>
  <c r="S99" i="2" s="1"/>
  <c r="T99" i="2" s="1"/>
  <c r="U99" i="2" s="1"/>
  <c r="I99" i="2"/>
  <c r="AA98" i="2"/>
  <c r="W98" i="2"/>
  <c r="X98" i="2" s="1"/>
  <c r="Q98" i="2"/>
  <c r="R98" i="2" s="1"/>
  <c r="S98" i="2" s="1"/>
  <c r="T98" i="2" s="1"/>
  <c r="U98" i="2" s="1"/>
  <c r="I98" i="2"/>
  <c r="AA97" i="2"/>
  <c r="W97" i="2"/>
  <c r="X97" i="2" s="1"/>
  <c r="Y97" i="2" s="1"/>
  <c r="Q97" i="2"/>
  <c r="R97" i="2" s="1"/>
  <c r="S97" i="2" s="1"/>
  <c r="T97" i="2" s="1"/>
  <c r="U97" i="2" s="1"/>
  <c r="I97" i="2"/>
  <c r="AA96" i="2"/>
  <c r="W96" i="2"/>
  <c r="X96" i="2" s="1"/>
  <c r="Y96" i="2" s="1"/>
  <c r="Q96" i="2"/>
  <c r="R96" i="2" s="1"/>
  <c r="S96" i="2" s="1"/>
  <c r="T96" i="2" s="1"/>
  <c r="U96" i="2" s="1"/>
  <c r="I96" i="2"/>
  <c r="AA95" i="2"/>
  <c r="W95" i="2"/>
  <c r="X95" i="2" s="1"/>
  <c r="Q95" i="2"/>
  <c r="R95" i="2" s="1"/>
  <c r="S95" i="2" s="1"/>
  <c r="T95" i="2" s="1"/>
  <c r="U95" i="2" s="1"/>
  <c r="I95" i="2"/>
  <c r="AA94" i="2"/>
  <c r="W94" i="2"/>
  <c r="Q94" i="2"/>
  <c r="R94" i="2" s="1"/>
  <c r="S94" i="2" s="1"/>
  <c r="T94" i="2" s="1"/>
  <c r="U94" i="2" s="1"/>
  <c r="I94" i="2"/>
  <c r="AA93" i="2"/>
  <c r="W93" i="2"/>
  <c r="Q93" i="2"/>
  <c r="R93" i="2" s="1"/>
  <c r="S93" i="2" s="1"/>
  <c r="T93" i="2" s="1"/>
  <c r="U93" i="2" s="1"/>
  <c r="I93" i="2"/>
  <c r="AA92" i="2"/>
  <c r="W92" i="2"/>
  <c r="Q92" i="2"/>
  <c r="R92" i="2" s="1"/>
  <c r="S92" i="2" s="1"/>
  <c r="T92" i="2" s="1"/>
  <c r="U92" i="2" s="1"/>
  <c r="I92" i="2"/>
  <c r="AA91" i="2"/>
  <c r="W91" i="2"/>
  <c r="X91" i="2" s="1"/>
  <c r="Y91" i="2" s="1"/>
  <c r="Q91" i="2"/>
  <c r="R91" i="2" s="1"/>
  <c r="S91" i="2" s="1"/>
  <c r="T91" i="2" s="1"/>
  <c r="U91" i="2" s="1"/>
  <c r="I91" i="2"/>
  <c r="AA90" i="2"/>
  <c r="W90" i="2"/>
  <c r="Q90" i="2"/>
  <c r="R90" i="2" s="1"/>
  <c r="S90" i="2" s="1"/>
  <c r="T90" i="2" s="1"/>
  <c r="U90" i="2" s="1"/>
  <c r="I90" i="2"/>
  <c r="AA89" i="2"/>
  <c r="W89" i="2"/>
  <c r="X89" i="2" s="1"/>
  <c r="Y89" i="2" s="1"/>
  <c r="Q89" i="2"/>
  <c r="R89" i="2" s="1"/>
  <c r="S89" i="2" s="1"/>
  <c r="T89" i="2" s="1"/>
  <c r="U89" i="2" s="1"/>
  <c r="I89" i="2"/>
  <c r="AA88" i="2"/>
  <c r="W88" i="2"/>
  <c r="X88" i="2" s="1"/>
  <c r="Y88" i="2" s="1"/>
  <c r="Q88" i="2"/>
  <c r="R88" i="2" s="1"/>
  <c r="S88" i="2" s="1"/>
  <c r="T88" i="2" s="1"/>
  <c r="U88" i="2" s="1"/>
  <c r="I88" i="2"/>
  <c r="AA87" i="2"/>
  <c r="W87" i="2"/>
  <c r="X87" i="2" s="1"/>
  <c r="Q87" i="2"/>
  <c r="R87" i="2" s="1"/>
  <c r="S87" i="2" s="1"/>
  <c r="T87" i="2" s="1"/>
  <c r="U87" i="2" s="1"/>
  <c r="I87" i="2"/>
  <c r="AA86" i="2"/>
  <c r="W86" i="2"/>
  <c r="X86" i="2" s="1"/>
  <c r="Y86" i="2" s="1"/>
  <c r="Q86" i="2"/>
  <c r="R86" i="2" s="1"/>
  <c r="S86" i="2" s="1"/>
  <c r="T86" i="2" s="1"/>
  <c r="U86" i="2" s="1"/>
  <c r="I86" i="2"/>
  <c r="AA85" i="2"/>
  <c r="W85" i="2"/>
  <c r="X85" i="2" s="1"/>
  <c r="Y85" i="2" s="1"/>
  <c r="T85" i="2"/>
  <c r="U85" i="2" s="1"/>
  <c r="Q85" i="2"/>
  <c r="R85" i="2" s="1"/>
  <c r="S85" i="2" s="1"/>
  <c r="AA84" i="2"/>
  <c r="W84" i="2"/>
  <c r="X84" i="2" s="1"/>
  <c r="Y84" i="2" s="1"/>
  <c r="Q84" i="2"/>
  <c r="R84" i="2" s="1"/>
  <c r="S84" i="2" s="1"/>
  <c r="T84" i="2" s="1"/>
  <c r="U84" i="2" s="1"/>
  <c r="I84" i="2"/>
  <c r="AA83" i="2"/>
  <c r="W83" i="2"/>
  <c r="Q83" i="2"/>
  <c r="R83" i="2" s="1"/>
  <c r="S83" i="2" s="1"/>
  <c r="T83" i="2" s="1"/>
  <c r="U83" i="2" s="1"/>
  <c r="I83" i="2"/>
  <c r="AA82" i="2"/>
  <c r="W82" i="2"/>
  <c r="X82" i="2" s="1"/>
  <c r="Y82" i="2" s="1"/>
  <c r="Q82" i="2"/>
  <c r="R82" i="2" s="1"/>
  <c r="S82" i="2" s="1"/>
  <c r="T82" i="2" s="1"/>
  <c r="U82" i="2" s="1"/>
  <c r="I82" i="2"/>
  <c r="AA81" i="2"/>
  <c r="W81" i="2"/>
  <c r="Q81" i="2"/>
  <c r="R81" i="2" s="1"/>
  <c r="S81" i="2" s="1"/>
  <c r="T81" i="2" s="1"/>
  <c r="U81" i="2" s="1"/>
  <c r="I81" i="2"/>
  <c r="AA80" i="2"/>
  <c r="W80" i="2"/>
  <c r="X80" i="2" s="1"/>
  <c r="Y80" i="2" s="1"/>
  <c r="Q80" i="2"/>
  <c r="R80" i="2" s="1"/>
  <c r="S80" i="2" s="1"/>
  <c r="T80" i="2" s="1"/>
  <c r="U80" i="2" s="1"/>
  <c r="I80" i="2"/>
  <c r="AA79" i="2"/>
  <c r="W79" i="2"/>
  <c r="Q79" i="2"/>
  <c r="R79" i="2" s="1"/>
  <c r="S79" i="2" s="1"/>
  <c r="T79" i="2" s="1"/>
  <c r="U79" i="2" s="1"/>
  <c r="I79" i="2"/>
  <c r="AA78" i="2"/>
  <c r="W78" i="2"/>
  <c r="X78" i="2" s="1"/>
  <c r="Y78" i="2" s="1"/>
  <c r="Q78" i="2"/>
  <c r="R78" i="2" s="1"/>
  <c r="S78" i="2" s="1"/>
  <c r="T78" i="2" s="1"/>
  <c r="U78" i="2" s="1"/>
  <c r="I78" i="2"/>
  <c r="AA77" i="2"/>
  <c r="W77" i="2"/>
  <c r="Q77" i="2"/>
  <c r="R77" i="2" s="1"/>
  <c r="S77" i="2" s="1"/>
  <c r="T77" i="2" s="1"/>
  <c r="U77" i="2" s="1"/>
  <c r="I77" i="2"/>
  <c r="AA76" i="2"/>
  <c r="W76" i="2"/>
  <c r="X76" i="2" s="1"/>
  <c r="Y76" i="2" s="1"/>
  <c r="T76" i="2"/>
  <c r="U76" i="2" s="1"/>
  <c r="Q76" i="2"/>
  <c r="R76" i="2" s="1"/>
  <c r="S76" i="2" s="1"/>
  <c r="AA75" i="2"/>
  <c r="W75" i="2"/>
  <c r="X75" i="2" s="1"/>
  <c r="Q75" i="2"/>
  <c r="R75" i="2" s="1"/>
  <c r="S75" i="2" s="1"/>
  <c r="T75" i="2" s="1"/>
  <c r="U75" i="2" s="1"/>
  <c r="I75" i="2"/>
  <c r="AA74" i="2"/>
  <c r="W74" i="2"/>
  <c r="T74" i="2"/>
  <c r="U74" i="2" s="1"/>
  <c r="Q74" i="2"/>
  <c r="R74" i="2" s="1"/>
  <c r="S74" i="2" s="1"/>
  <c r="AA73" i="2"/>
  <c r="W73" i="2"/>
  <c r="X73" i="2" s="1"/>
  <c r="Y73" i="2" s="1"/>
  <c r="Q73" i="2"/>
  <c r="R73" i="2" s="1"/>
  <c r="S73" i="2" s="1"/>
  <c r="T73" i="2" s="1"/>
  <c r="U73" i="2" s="1"/>
  <c r="I73" i="2"/>
  <c r="AA72" i="2"/>
  <c r="W72" i="2"/>
  <c r="Q72" i="2"/>
  <c r="R72" i="2" s="1"/>
  <c r="S72" i="2" s="1"/>
  <c r="T72" i="2" s="1"/>
  <c r="U72" i="2" s="1"/>
  <c r="I72" i="2"/>
  <c r="AA71" i="2"/>
  <c r="W71" i="2"/>
  <c r="X71" i="2" s="1"/>
  <c r="Y71" i="2" s="1"/>
  <c r="Q71" i="2"/>
  <c r="R71" i="2" s="1"/>
  <c r="S71" i="2" s="1"/>
  <c r="T71" i="2" s="1"/>
  <c r="U71" i="2" s="1"/>
  <c r="I71" i="2"/>
  <c r="AA70" i="2"/>
  <c r="W70" i="2"/>
  <c r="X70" i="2" s="1"/>
  <c r="Q70" i="2"/>
  <c r="R70" i="2" s="1"/>
  <c r="S70" i="2" s="1"/>
  <c r="T70" i="2" s="1"/>
  <c r="U70" i="2" s="1"/>
  <c r="I70" i="2"/>
  <c r="AA69" i="2"/>
  <c r="W69" i="2"/>
  <c r="X69" i="2" s="1"/>
  <c r="Y69" i="2" s="1"/>
  <c r="Q69" i="2"/>
  <c r="R69" i="2" s="1"/>
  <c r="S69" i="2" s="1"/>
  <c r="T69" i="2" s="1"/>
  <c r="U69" i="2" s="1"/>
  <c r="I69" i="2"/>
  <c r="AA68" i="2"/>
  <c r="W68" i="2"/>
  <c r="Q68" i="2"/>
  <c r="R68" i="2" s="1"/>
  <c r="S68" i="2" s="1"/>
  <c r="T68" i="2" s="1"/>
  <c r="U68" i="2" s="1"/>
  <c r="I68" i="2"/>
  <c r="AA67" i="2"/>
  <c r="W67" i="2"/>
  <c r="X67" i="2" s="1"/>
  <c r="Y67" i="2" s="1"/>
  <c r="Q67" i="2"/>
  <c r="R67" i="2" s="1"/>
  <c r="S67" i="2" s="1"/>
  <c r="T67" i="2" s="1"/>
  <c r="U67" i="2" s="1"/>
  <c r="I67" i="2"/>
  <c r="AA66" i="2"/>
  <c r="W66" i="2"/>
  <c r="X66" i="2" s="1"/>
  <c r="Q66" i="2"/>
  <c r="R66" i="2" s="1"/>
  <c r="S66" i="2" s="1"/>
  <c r="T66" i="2" s="1"/>
  <c r="U66" i="2" s="1"/>
  <c r="I66" i="2"/>
  <c r="AA65" i="2"/>
  <c r="W65" i="2"/>
  <c r="X65" i="2" s="1"/>
  <c r="Y65" i="2" s="1"/>
  <c r="Q65" i="2"/>
  <c r="R65" i="2" s="1"/>
  <c r="S65" i="2" s="1"/>
  <c r="T65" i="2" s="1"/>
  <c r="U65" i="2" s="1"/>
  <c r="I65" i="2"/>
  <c r="AA64" i="2"/>
  <c r="W64" i="2"/>
  <c r="Q64" i="2"/>
  <c r="R64" i="2" s="1"/>
  <c r="S64" i="2" s="1"/>
  <c r="T64" i="2" s="1"/>
  <c r="U64" i="2" s="1"/>
  <c r="I64" i="2"/>
  <c r="AA63" i="2"/>
  <c r="W63" i="2"/>
  <c r="X63" i="2" s="1"/>
  <c r="Y63" i="2" s="1"/>
  <c r="Q63" i="2"/>
  <c r="R63" i="2" s="1"/>
  <c r="S63" i="2" s="1"/>
  <c r="T63" i="2" s="1"/>
  <c r="U63" i="2" s="1"/>
  <c r="I63" i="2"/>
  <c r="AA62" i="2"/>
  <c r="W62" i="2"/>
  <c r="X62" i="2" s="1"/>
  <c r="Q62" i="2"/>
  <c r="R62" i="2" s="1"/>
  <c r="S62" i="2" s="1"/>
  <c r="T62" i="2" s="1"/>
  <c r="U62" i="2" s="1"/>
  <c r="I62" i="2"/>
  <c r="AA61" i="2"/>
  <c r="W61" i="2"/>
  <c r="X61" i="2" s="1"/>
  <c r="Y61" i="2" s="1"/>
  <c r="T61" i="2"/>
  <c r="U61" i="2" s="1"/>
  <c r="Q61" i="2"/>
  <c r="R61" i="2" s="1"/>
  <c r="S61" i="2" s="1"/>
  <c r="AA60" i="2"/>
  <c r="W60" i="2"/>
  <c r="X60" i="2" s="1"/>
  <c r="Q60" i="2"/>
  <c r="R60" i="2" s="1"/>
  <c r="S60" i="2" s="1"/>
  <c r="T60" i="2" s="1"/>
  <c r="U60" i="2" s="1"/>
  <c r="I60" i="2"/>
  <c r="AA59" i="2"/>
  <c r="W59" i="2"/>
  <c r="X59" i="2" s="1"/>
  <c r="Y59" i="2" s="1"/>
  <c r="Q59" i="2"/>
  <c r="R59" i="2" s="1"/>
  <c r="S59" i="2" s="1"/>
  <c r="T59" i="2" s="1"/>
  <c r="U59" i="2" s="1"/>
  <c r="I59" i="2"/>
  <c r="AA58" i="2"/>
  <c r="W58" i="2"/>
  <c r="Q58" i="2"/>
  <c r="R58" i="2" s="1"/>
  <c r="S58" i="2" s="1"/>
  <c r="T58" i="2" s="1"/>
  <c r="U58" i="2" s="1"/>
  <c r="I58" i="2"/>
  <c r="AA57" i="2"/>
  <c r="W57" i="2"/>
  <c r="Q57" i="2"/>
  <c r="R57" i="2" s="1"/>
  <c r="S57" i="2" s="1"/>
  <c r="T57" i="2" s="1"/>
  <c r="U57" i="2" s="1"/>
  <c r="I57" i="2"/>
  <c r="AA56" i="2"/>
  <c r="W56" i="2"/>
  <c r="X56" i="2" s="1"/>
  <c r="Y56" i="2" s="1"/>
  <c r="Q56" i="2"/>
  <c r="R56" i="2" s="1"/>
  <c r="S56" i="2" s="1"/>
  <c r="T56" i="2" s="1"/>
  <c r="U56" i="2" s="1"/>
  <c r="I56" i="2"/>
  <c r="AA55" i="2"/>
  <c r="W55" i="2"/>
  <c r="Q55" i="2"/>
  <c r="R55" i="2" s="1"/>
  <c r="S55" i="2" s="1"/>
  <c r="T55" i="2" s="1"/>
  <c r="U55" i="2" s="1"/>
  <c r="I55" i="2"/>
  <c r="AA54" i="2"/>
  <c r="W54" i="2"/>
  <c r="X54" i="2" s="1"/>
  <c r="Y54" i="2" s="1"/>
  <c r="Q54" i="2"/>
  <c r="R54" i="2" s="1"/>
  <c r="S54" i="2" s="1"/>
  <c r="T54" i="2" s="1"/>
  <c r="U54" i="2" s="1"/>
  <c r="I54" i="2"/>
  <c r="AA53" i="2"/>
  <c r="W53" i="2"/>
  <c r="Q53" i="2"/>
  <c r="R53" i="2" s="1"/>
  <c r="S53" i="2" s="1"/>
  <c r="T53" i="2" s="1"/>
  <c r="U53" i="2" s="1"/>
  <c r="I53" i="2"/>
  <c r="AA52" i="2"/>
  <c r="W52" i="2"/>
  <c r="X52" i="2" s="1"/>
  <c r="Q52" i="2"/>
  <c r="R52" i="2" s="1"/>
  <c r="S52" i="2" s="1"/>
  <c r="T52" i="2" s="1"/>
  <c r="U52" i="2" s="1"/>
  <c r="I52" i="2"/>
  <c r="AA51" i="2"/>
  <c r="W51" i="2"/>
  <c r="X51" i="2" s="1"/>
  <c r="Y51" i="2" s="1"/>
  <c r="Q51" i="2"/>
  <c r="R51" i="2" s="1"/>
  <c r="S51" i="2" s="1"/>
  <c r="T51" i="2" s="1"/>
  <c r="U51" i="2" s="1"/>
  <c r="I51" i="2"/>
  <c r="AA50" i="2"/>
  <c r="W50" i="2"/>
  <c r="X50" i="2" s="1"/>
  <c r="Y50" i="2" s="1"/>
  <c r="T50" i="2"/>
  <c r="U50" i="2" s="1"/>
  <c r="Q50" i="2"/>
  <c r="R50" i="2" s="1"/>
  <c r="S50" i="2" s="1"/>
  <c r="AA49" i="2"/>
  <c r="W49" i="2"/>
  <c r="X49" i="2" s="1"/>
  <c r="Y49" i="2" s="1"/>
  <c r="T49" i="2"/>
  <c r="U49" i="2" s="1"/>
  <c r="Q49" i="2"/>
  <c r="R49" i="2" s="1"/>
  <c r="S49" i="2" s="1"/>
  <c r="AA48" i="2"/>
  <c r="W48" i="2"/>
  <c r="X48" i="2" s="1"/>
  <c r="Q48" i="2"/>
  <c r="R48" i="2" s="1"/>
  <c r="S48" i="2" s="1"/>
  <c r="T48" i="2" s="1"/>
  <c r="U48" i="2" s="1"/>
  <c r="I48" i="2"/>
  <c r="AA47" i="2"/>
  <c r="W47" i="2"/>
  <c r="Q47" i="2"/>
  <c r="R47" i="2" s="1"/>
  <c r="S47" i="2" s="1"/>
  <c r="T47" i="2" s="1"/>
  <c r="U47" i="2" s="1"/>
  <c r="I47" i="2"/>
  <c r="AA46" i="2"/>
  <c r="W46" i="2"/>
  <c r="X46" i="2" s="1"/>
  <c r="Q46" i="2"/>
  <c r="R46" i="2" s="1"/>
  <c r="S46" i="2" s="1"/>
  <c r="T46" i="2" s="1"/>
  <c r="U46" i="2" s="1"/>
  <c r="I46" i="2"/>
  <c r="AA45" i="2"/>
  <c r="W45" i="2"/>
  <c r="Q45" i="2"/>
  <c r="R45" i="2" s="1"/>
  <c r="S45" i="2" s="1"/>
  <c r="T45" i="2" s="1"/>
  <c r="U45" i="2" s="1"/>
  <c r="I45" i="2"/>
  <c r="AA44" i="2"/>
  <c r="W44" i="2"/>
  <c r="X44" i="2" s="1"/>
  <c r="Q44" i="2"/>
  <c r="R44" i="2" s="1"/>
  <c r="S44" i="2" s="1"/>
  <c r="T44" i="2" s="1"/>
  <c r="U44" i="2" s="1"/>
  <c r="I44" i="2"/>
  <c r="AA43" i="2"/>
  <c r="W43" i="2"/>
  <c r="X43" i="2" s="1"/>
  <c r="Q43" i="2"/>
  <c r="R43" i="2" s="1"/>
  <c r="S43" i="2" s="1"/>
  <c r="T43" i="2" s="1"/>
  <c r="U43" i="2" s="1"/>
  <c r="I43" i="2"/>
  <c r="AA42" i="2"/>
  <c r="W42" i="2"/>
  <c r="Q42" i="2"/>
  <c r="R42" i="2" s="1"/>
  <c r="S42" i="2" s="1"/>
  <c r="T42" i="2" s="1"/>
  <c r="U42" i="2" s="1"/>
  <c r="I42" i="2"/>
  <c r="AA41" i="2"/>
  <c r="W41" i="2"/>
  <c r="X41" i="2" s="1"/>
  <c r="Q41" i="2"/>
  <c r="R41" i="2" s="1"/>
  <c r="S41" i="2" s="1"/>
  <c r="T41" i="2" s="1"/>
  <c r="U41" i="2" s="1"/>
  <c r="I41" i="2"/>
  <c r="AA40" i="2"/>
  <c r="W40" i="2"/>
  <c r="Q40" i="2"/>
  <c r="R40" i="2" s="1"/>
  <c r="S40" i="2" s="1"/>
  <c r="T40" i="2" s="1"/>
  <c r="U40" i="2" s="1"/>
  <c r="I40" i="2"/>
  <c r="AA39" i="2"/>
  <c r="W39" i="2"/>
  <c r="T39" i="2"/>
  <c r="U39" i="2" s="1"/>
  <c r="Q39" i="2"/>
  <c r="R39" i="2" s="1"/>
  <c r="S39" i="2" s="1"/>
  <c r="AA38" i="2"/>
  <c r="W38" i="2"/>
  <c r="X38" i="2" s="1"/>
  <c r="Y38" i="2" s="1"/>
  <c r="T38" i="2"/>
  <c r="U38" i="2" s="1"/>
  <c r="Q38" i="2"/>
  <c r="R38" i="2" s="1"/>
  <c r="S38" i="2" s="1"/>
  <c r="AA37" i="2"/>
  <c r="W37" i="2"/>
  <c r="X37" i="2" s="1"/>
  <c r="Y37" i="2" s="1"/>
  <c r="Q37" i="2"/>
  <c r="R37" i="2" s="1"/>
  <c r="S37" i="2" s="1"/>
  <c r="T37" i="2" s="1"/>
  <c r="U37" i="2" s="1"/>
  <c r="I37" i="2"/>
  <c r="AA36" i="2"/>
  <c r="W36" i="2"/>
  <c r="X36" i="2" s="1"/>
  <c r="Y36" i="2" s="1"/>
  <c r="Q36" i="2"/>
  <c r="R36" i="2" s="1"/>
  <c r="S36" i="2" s="1"/>
  <c r="T36" i="2" s="1"/>
  <c r="U36" i="2" s="1"/>
  <c r="I36" i="2"/>
  <c r="AA35" i="2"/>
  <c r="W35" i="2"/>
  <c r="X35" i="2" s="1"/>
  <c r="Y35" i="2" s="1"/>
  <c r="Q35" i="2"/>
  <c r="R35" i="2" s="1"/>
  <c r="S35" i="2" s="1"/>
  <c r="T35" i="2" s="1"/>
  <c r="U35" i="2" s="1"/>
  <c r="I35" i="2"/>
  <c r="AA34" i="2"/>
  <c r="W34" i="2"/>
  <c r="X34" i="2" s="1"/>
  <c r="Y34" i="2" s="1"/>
  <c r="Q34" i="2"/>
  <c r="R34" i="2" s="1"/>
  <c r="S34" i="2" s="1"/>
  <c r="T34" i="2" s="1"/>
  <c r="U34" i="2" s="1"/>
  <c r="I34" i="2"/>
  <c r="AA33" i="2"/>
  <c r="W33" i="2"/>
  <c r="X33" i="2" s="1"/>
  <c r="Y33" i="2" s="1"/>
  <c r="Q33" i="2"/>
  <c r="R33" i="2" s="1"/>
  <c r="S33" i="2" s="1"/>
  <c r="T33" i="2" s="1"/>
  <c r="U33" i="2" s="1"/>
  <c r="I33" i="2"/>
  <c r="AA32" i="2"/>
  <c r="W32" i="2"/>
  <c r="Q32" i="2"/>
  <c r="R32" i="2" s="1"/>
  <c r="S32" i="2" s="1"/>
  <c r="T32" i="2" s="1"/>
  <c r="U32" i="2" s="1"/>
  <c r="I32" i="2"/>
  <c r="AA31" i="2"/>
  <c r="W31" i="2"/>
  <c r="Q31" i="2"/>
  <c r="R31" i="2" s="1"/>
  <c r="S31" i="2" s="1"/>
  <c r="T31" i="2" s="1"/>
  <c r="U31" i="2" s="1"/>
  <c r="I31" i="2"/>
  <c r="AA30" i="2"/>
  <c r="W30" i="2"/>
  <c r="X30" i="2" s="1"/>
  <c r="Y30" i="2" s="1"/>
  <c r="T30" i="2"/>
  <c r="U30" i="2" s="1"/>
  <c r="Q30" i="2"/>
  <c r="R30" i="2" s="1"/>
  <c r="S30" i="2" s="1"/>
  <c r="AA29" i="2"/>
  <c r="W29" i="2"/>
  <c r="X29" i="2" s="1"/>
  <c r="Q29" i="2"/>
  <c r="R29" i="2" s="1"/>
  <c r="S29" i="2" s="1"/>
  <c r="T29" i="2" s="1"/>
  <c r="U29" i="2" s="1"/>
  <c r="I29" i="2"/>
  <c r="AA28" i="2"/>
  <c r="W28" i="2"/>
  <c r="Q28" i="2"/>
  <c r="R28" i="2" s="1"/>
  <c r="S28" i="2" s="1"/>
  <c r="T28" i="2" s="1"/>
  <c r="U28" i="2" s="1"/>
  <c r="I28" i="2"/>
  <c r="AA27" i="2"/>
  <c r="W27" i="2"/>
  <c r="Q27" i="2"/>
  <c r="R27" i="2" s="1"/>
  <c r="S27" i="2" s="1"/>
  <c r="T27" i="2" s="1"/>
  <c r="U27" i="2" s="1"/>
  <c r="I27" i="2"/>
  <c r="AA26" i="2"/>
  <c r="W26" i="2"/>
  <c r="X26" i="2" s="1"/>
  <c r="Y26" i="2" s="1"/>
  <c r="Q26" i="2"/>
  <c r="R26" i="2" s="1"/>
  <c r="S26" i="2" s="1"/>
  <c r="T26" i="2" s="1"/>
  <c r="U26" i="2" s="1"/>
  <c r="I26" i="2"/>
  <c r="AA25" i="2"/>
  <c r="W25" i="2"/>
  <c r="X25" i="2" s="1"/>
  <c r="Q25" i="2"/>
  <c r="R25" i="2" s="1"/>
  <c r="S25" i="2" s="1"/>
  <c r="T25" i="2" s="1"/>
  <c r="U25" i="2" s="1"/>
  <c r="I25" i="2"/>
  <c r="AA24" i="2"/>
  <c r="W24" i="2"/>
  <c r="Q24" i="2"/>
  <c r="R24" i="2" s="1"/>
  <c r="S24" i="2" s="1"/>
  <c r="T24" i="2" s="1"/>
  <c r="U24" i="2" s="1"/>
  <c r="I24" i="2"/>
  <c r="AA23" i="2"/>
  <c r="W23" i="2"/>
  <c r="Q23" i="2"/>
  <c r="R23" i="2" s="1"/>
  <c r="S23" i="2" s="1"/>
  <c r="T23" i="2" s="1"/>
  <c r="U23" i="2" s="1"/>
  <c r="I23" i="2"/>
  <c r="AA22" i="2"/>
  <c r="W22" i="2"/>
  <c r="X22" i="2" s="1"/>
  <c r="Y22" i="2" s="1"/>
  <c r="Q22" i="2"/>
  <c r="R22" i="2" s="1"/>
  <c r="S22" i="2" s="1"/>
  <c r="T22" i="2" s="1"/>
  <c r="U22" i="2" s="1"/>
  <c r="I22" i="2"/>
  <c r="AA21" i="2"/>
  <c r="W21" i="2"/>
  <c r="X21" i="2" s="1"/>
  <c r="Q21" i="2"/>
  <c r="R21" i="2" s="1"/>
  <c r="S21" i="2" s="1"/>
  <c r="T21" i="2" s="1"/>
  <c r="U21" i="2" s="1"/>
  <c r="I21" i="2"/>
  <c r="AA20" i="2"/>
  <c r="W20" i="2"/>
  <c r="Q20" i="2"/>
  <c r="R20" i="2" s="1"/>
  <c r="S20" i="2" s="1"/>
  <c r="T20" i="2" s="1"/>
  <c r="U20" i="2" s="1"/>
  <c r="I20" i="2"/>
  <c r="AA19" i="2"/>
  <c r="W19" i="2"/>
  <c r="X19" i="2" s="1"/>
  <c r="Q19" i="2"/>
  <c r="R19" i="2" s="1"/>
  <c r="S19" i="2" s="1"/>
  <c r="T19" i="2" s="1"/>
  <c r="U19" i="2" s="1"/>
  <c r="I19" i="2"/>
  <c r="AA18" i="2"/>
  <c r="W18" i="2"/>
  <c r="X18" i="2" s="1"/>
  <c r="Y18" i="2" s="1"/>
  <c r="Q18" i="2"/>
  <c r="R18" i="2" s="1"/>
  <c r="S18" i="2" s="1"/>
  <c r="T18" i="2" s="1"/>
  <c r="U18" i="2" s="1"/>
  <c r="I18" i="2"/>
  <c r="AA17" i="2"/>
  <c r="W17" i="2"/>
  <c r="X17" i="2" s="1"/>
  <c r="T17" i="2"/>
  <c r="U17" i="2" s="1"/>
  <c r="Q17" i="2"/>
  <c r="R17" i="2" s="1"/>
  <c r="S17" i="2" s="1"/>
  <c r="AA16" i="2"/>
  <c r="W16" i="2"/>
  <c r="X16" i="2" s="1"/>
  <c r="T16" i="2"/>
  <c r="U16" i="2" s="1"/>
  <c r="Q16" i="2"/>
  <c r="R16" i="2" s="1"/>
  <c r="S16" i="2" s="1"/>
  <c r="AA15" i="2"/>
  <c r="W15" i="2"/>
  <c r="X15" i="2" s="1"/>
  <c r="Y15" i="2" s="1"/>
  <c r="Q15" i="2"/>
  <c r="R15" i="2" s="1"/>
  <c r="S15" i="2" s="1"/>
  <c r="T15" i="2" s="1"/>
  <c r="U15" i="2" s="1"/>
  <c r="I15" i="2"/>
  <c r="AA14" i="2"/>
  <c r="W14" i="2"/>
  <c r="X14" i="2" s="1"/>
  <c r="Q14" i="2"/>
  <c r="R14" i="2" s="1"/>
  <c r="S14" i="2" s="1"/>
  <c r="T14" i="2" s="1"/>
  <c r="U14" i="2" s="1"/>
  <c r="I14" i="2"/>
  <c r="AA13" i="2"/>
  <c r="W13" i="2"/>
  <c r="Q13" i="2"/>
  <c r="R13" i="2" s="1"/>
  <c r="S13" i="2" s="1"/>
  <c r="T13" i="2" s="1"/>
  <c r="U13" i="2" s="1"/>
  <c r="I13" i="2"/>
  <c r="AA12" i="2"/>
  <c r="W12" i="2"/>
  <c r="Q12" i="2"/>
  <c r="R12" i="2" s="1"/>
  <c r="S12" i="2" s="1"/>
  <c r="T12" i="2" s="1"/>
  <c r="U12" i="2" s="1"/>
  <c r="I12" i="2"/>
  <c r="AA11" i="2"/>
  <c r="W11" i="2"/>
  <c r="X11" i="2" s="1"/>
  <c r="Y11" i="2" s="1"/>
  <c r="Q11" i="2"/>
  <c r="R11" i="2" s="1"/>
  <c r="S11" i="2" s="1"/>
  <c r="T11" i="2" s="1"/>
  <c r="U11" i="2" s="1"/>
  <c r="I11" i="2"/>
  <c r="AA10" i="2"/>
  <c r="W10" i="2"/>
  <c r="X10" i="2" s="1"/>
  <c r="Q10" i="2"/>
  <c r="R10" i="2" s="1"/>
  <c r="S10" i="2" s="1"/>
  <c r="T10" i="2" s="1"/>
  <c r="U10" i="2" s="1"/>
  <c r="I10" i="2"/>
  <c r="AA9" i="2"/>
  <c r="W9" i="2"/>
  <c r="X9" i="2" s="1"/>
  <c r="Y9" i="2" s="1"/>
  <c r="Q9" i="2"/>
  <c r="R9" i="2" s="1"/>
  <c r="S9" i="2" s="1"/>
  <c r="T9" i="2" s="1"/>
  <c r="U9" i="2" s="1"/>
  <c r="I9" i="2"/>
  <c r="AA8" i="2"/>
  <c r="W8" i="2"/>
  <c r="Q8" i="2"/>
  <c r="R8" i="2" s="1"/>
  <c r="S8" i="2" s="1"/>
  <c r="T8" i="2" s="1"/>
  <c r="U8" i="2" s="1"/>
  <c r="I8" i="2"/>
  <c r="AA7" i="2"/>
  <c r="W7" i="2"/>
  <c r="X7" i="2" s="1"/>
  <c r="Y7" i="2" s="1"/>
  <c r="Q7" i="2"/>
  <c r="R7" i="2" s="1"/>
  <c r="S7" i="2" s="1"/>
  <c r="T7" i="2" s="1"/>
  <c r="U7" i="2" s="1"/>
  <c r="I7" i="2"/>
  <c r="AA6" i="2"/>
  <c r="W6" i="2"/>
  <c r="X6" i="2" s="1"/>
  <c r="Q6" i="2"/>
  <c r="R6" i="2" s="1"/>
  <c r="S6" i="2" s="1"/>
  <c r="T6" i="2" s="1"/>
  <c r="U6" i="2" s="1"/>
  <c r="I6" i="2"/>
  <c r="AA5" i="2"/>
  <c r="W5" i="2"/>
  <c r="X5" i="2" s="1"/>
  <c r="Y5" i="2" s="1"/>
  <c r="Q5" i="2"/>
  <c r="R5" i="2" s="1"/>
  <c r="S5" i="2" s="1"/>
  <c r="T5" i="2" s="1"/>
  <c r="U5" i="2" s="1"/>
  <c r="I5" i="2"/>
  <c r="AA4" i="2"/>
  <c r="W4" i="2"/>
  <c r="X4" i="2" s="1"/>
  <c r="Q4" i="2"/>
  <c r="R4" i="2" s="1"/>
  <c r="S4" i="2" s="1"/>
  <c r="T4" i="2" s="1"/>
  <c r="U4" i="2" s="1"/>
  <c r="I4" i="2"/>
  <c r="AA3" i="2"/>
  <c r="W3" i="2"/>
  <c r="X3" i="2" s="1"/>
  <c r="Y3" i="2" s="1"/>
  <c r="Q3" i="2"/>
  <c r="R3" i="2" s="1"/>
  <c r="S3" i="2" s="1"/>
  <c r="T3" i="2" s="1"/>
  <c r="U3" i="2" s="1"/>
  <c r="I3" i="2"/>
  <c r="AA2" i="2"/>
  <c r="W2" i="2"/>
  <c r="X2" i="2" s="1"/>
  <c r="Q2" i="2"/>
  <c r="R2" i="2" s="1"/>
  <c r="S2" i="2" s="1"/>
  <c r="T2" i="2" s="1"/>
  <c r="U2" i="2" s="1"/>
  <c r="I2" i="2"/>
  <c r="L11" i="1" l="1"/>
  <c r="Y443" i="2"/>
  <c r="Y390" i="2"/>
  <c r="Z422" i="2"/>
  <c r="AB422" i="2" s="1"/>
  <c r="W80" i="3"/>
  <c r="Y80" i="3" s="1"/>
  <c r="BH10" i="1"/>
  <c r="BI10" i="1" s="1"/>
  <c r="BN10" i="1" s="1"/>
  <c r="V86" i="3"/>
  <c r="Z215" i="2"/>
  <c r="AB215" i="2" s="1"/>
  <c r="Z438" i="2"/>
  <c r="AB438" i="2" s="1"/>
  <c r="Z135" i="2"/>
  <c r="AB135" i="2" s="1"/>
  <c r="L19" i="1"/>
  <c r="W32" i="3"/>
  <c r="Y32" i="3" s="1"/>
  <c r="W23" i="3"/>
  <c r="Y23" i="3" s="1"/>
  <c r="Z3" i="2"/>
  <c r="AB3" i="2" s="1"/>
  <c r="Y274" i="2"/>
  <c r="Z274" i="2" s="1"/>
  <c r="AB274" i="2" s="1"/>
  <c r="Z442" i="2"/>
  <c r="AB442" i="2" s="1"/>
  <c r="V62" i="3"/>
  <c r="Y106" i="2"/>
  <c r="Z186" i="2"/>
  <c r="AB186" i="2" s="1"/>
  <c r="Z214" i="2"/>
  <c r="AB214" i="2" s="1"/>
  <c r="Z356" i="2"/>
  <c r="AB356" i="2" s="1"/>
  <c r="Y431" i="2"/>
  <c r="Y138" i="2"/>
  <c r="Z138" i="2" s="1"/>
  <c r="AB138" i="2" s="1"/>
  <c r="Z194" i="2"/>
  <c r="AB194" i="2" s="1"/>
  <c r="Z284" i="2"/>
  <c r="AB284" i="2" s="1"/>
  <c r="L20" i="1"/>
  <c r="V34" i="3"/>
  <c r="W34" i="3" s="1"/>
  <c r="Y34" i="3" s="1"/>
  <c r="Y370" i="2"/>
  <c r="Y139" i="2"/>
  <c r="Z139" i="2" s="1"/>
  <c r="AB139" i="2" s="1"/>
  <c r="Y249" i="2"/>
  <c r="BC16" i="1"/>
  <c r="BD16" i="1" s="1"/>
  <c r="BL16" i="1" s="1"/>
  <c r="V16" i="3"/>
  <c r="W16" i="3" s="1"/>
  <c r="Y16" i="3" s="1"/>
  <c r="Z97" i="2"/>
  <c r="AB97" i="2" s="1"/>
  <c r="Y120" i="2"/>
  <c r="W22" i="3"/>
  <c r="Y22" i="3" s="1"/>
  <c r="W71" i="3"/>
  <c r="Y71" i="3" s="1"/>
  <c r="W33" i="3"/>
  <c r="Y33" i="3" s="1"/>
  <c r="L15" i="1"/>
  <c r="U30" i="3"/>
  <c r="V30" i="3" s="1"/>
  <c r="W30" i="3" s="1"/>
  <c r="Y30" i="3" s="1"/>
  <c r="V94" i="3"/>
  <c r="W94" i="3" s="1"/>
  <c r="Y94" i="3" s="1"/>
  <c r="Z365" i="2"/>
  <c r="AB365" i="2" s="1"/>
  <c r="L2" i="1"/>
  <c r="Z434" i="2"/>
  <c r="AB434" i="2" s="1"/>
  <c r="L7" i="1"/>
  <c r="X118" i="2"/>
  <c r="Y118" i="2" s="1"/>
  <c r="Z118" i="2" s="1"/>
  <c r="AB118" i="2" s="1"/>
  <c r="Z268" i="2"/>
  <c r="AB268" i="2" s="1"/>
  <c r="Z288" i="2"/>
  <c r="AB288" i="2" s="1"/>
  <c r="X105" i="2"/>
  <c r="Y105" i="2" s="1"/>
  <c r="Z105" i="2" s="1"/>
  <c r="AB105" i="2" s="1"/>
  <c r="X162" i="2"/>
  <c r="Y162" i="2" s="1"/>
  <c r="Z162" i="2" s="1"/>
  <c r="AB162" i="2" s="1"/>
  <c r="Z232" i="2"/>
  <c r="AB232" i="2" s="1"/>
  <c r="Z221" i="2"/>
  <c r="AB221" i="2" s="1"/>
  <c r="X391" i="2"/>
  <c r="Y391" i="2" s="1"/>
  <c r="Z391" i="2" s="1"/>
  <c r="AB391" i="2" s="1"/>
  <c r="X439" i="2"/>
  <c r="Y439" i="2"/>
  <c r="X216" i="2"/>
  <c r="Y216" i="2" s="1"/>
  <c r="Z216" i="2" s="1"/>
  <c r="AB216" i="2" s="1"/>
  <c r="X152" i="2"/>
  <c r="Y152" i="2"/>
  <c r="Y294" i="2"/>
  <c r="Z294" i="2" s="1"/>
  <c r="AB294" i="2" s="1"/>
  <c r="Z30" i="2"/>
  <c r="AB30" i="2" s="1"/>
  <c r="X141" i="2"/>
  <c r="Y141" i="2"/>
  <c r="Z141" i="2" s="1"/>
  <c r="AB141" i="2" s="1"/>
  <c r="X227" i="2"/>
  <c r="Y227" i="2" s="1"/>
  <c r="Z227" i="2" s="1"/>
  <c r="AB227" i="2" s="1"/>
  <c r="X58" i="2"/>
  <c r="Y58" i="2" s="1"/>
  <c r="Z58" i="2" s="1"/>
  <c r="AB58" i="2" s="1"/>
  <c r="X239" i="2"/>
  <c r="Y239" i="2" s="1"/>
  <c r="Z239" i="2" s="1"/>
  <c r="AB239" i="2" s="1"/>
  <c r="Z379" i="2"/>
  <c r="AB379" i="2" s="1"/>
  <c r="Z430" i="2"/>
  <c r="AB430" i="2" s="1"/>
  <c r="Z402" i="2"/>
  <c r="AB402" i="2" s="1"/>
  <c r="Z38" i="2"/>
  <c r="AB38" i="2" s="1"/>
  <c r="Z258" i="2"/>
  <c r="AB258" i="2" s="1"/>
  <c r="Z420" i="2"/>
  <c r="AB420" i="2" s="1"/>
  <c r="Y423" i="2"/>
  <c r="Z423" i="2" s="1"/>
  <c r="AB423" i="2" s="1"/>
  <c r="L14" i="1"/>
  <c r="BH15" i="1"/>
  <c r="BI15" i="1" s="1"/>
  <c r="BN15" i="1" s="1"/>
  <c r="BH19" i="1"/>
  <c r="BI19" i="1" s="1"/>
  <c r="BN19" i="1" s="1"/>
  <c r="V4" i="3"/>
  <c r="V6" i="3"/>
  <c r="W6" i="3" s="1"/>
  <c r="Y6" i="3" s="1"/>
  <c r="W52" i="3"/>
  <c r="Y52" i="3" s="1"/>
  <c r="W60" i="3"/>
  <c r="Y60" i="3" s="1"/>
  <c r="U74" i="3"/>
  <c r="V74" i="3" s="1"/>
  <c r="W74" i="3" s="1"/>
  <c r="Y74" i="3" s="1"/>
  <c r="Z436" i="2"/>
  <c r="AB436" i="2" s="1"/>
  <c r="Y191" i="2"/>
  <c r="Y224" i="2"/>
  <c r="Z224" i="2" s="1"/>
  <c r="AB224" i="2" s="1"/>
  <c r="Y357" i="2"/>
  <c r="Z419" i="2"/>
  <c r="AB419" i="2" s="1"/>
  <c r="V5" i="3"/>
  <c r="W5" i="3" s="1"/>
  <c r="Y5" i="3" s="1"/>
  <c r="U18" i="3"/>
  <c r="V18" i="3" s="1"/>
  <c r="W18" i="3" s="1"/>
  <c r="Y18" i="3" s="1"/>
  <c r="V79" i="3"/>
  <c r="Y414" i="2"/>
  <c r="Z414" i="2" s="1"/>
  <c r="AB414" i="2" s="1"/>
  <c r="Z431" i="2"/>
  <c r="AB431" i="2" s="1"/>
  <c r="Z9" i="2"/>
  <c r="AB9" i="2" s="1"/>
  <c r="Z76" i="2"/>
  <c r="AB76" i="2" s="1"/>
  <c r="Y154" i="2"/>
  <c r="Z154" i="2" s="1"/>
  <c r="AB154" i="2" s="1"/>
  <c r="Z264" i="2"/>
  <c r="AB264" i="2" s="1"/>
  <c r="L9" i="1"/>
  <c r="W7" i="3"/>
  <c r="Y7" i="3" s="1"/>
  <c r="V10" i="3"/>
  <c r="W10" i="3" s="1"/>
  <c r="Y10" i="3" s="1"/>
  <c r="W73" i="3"/>
  <c r="Y73" i="3" s="1"/>
  <c r="Z49" i="2"/>
  <c r="AB49" i="2" s="1"/>
  <c r="Z84" i="2"/>
  <c r="AB84" i="2" s="1"/>
  <c r="Z67" i="2"/>
  <c r="AB67" i="2" s="1"/>
  <c r="Z152" i="2"/>
  <c r="AB152" i="2" s="1"/>
  <c r="X171" i="2"/>
  <c r="Y171" i="2" s="1"/>
  <c r="Z171" i="2" s="1"/>
  <c r="AB171" i="2" s="1"/>
  <c r="X269" i="2"/>
  <c r="Y269" i="2"/>
  <c r="Z269" i="2" s="1"/>
  <c r="AB269" i="2" s="1"/>
  <c r="Z384" i="2"/>
  <c r="AB384" i="2" s="1"/>
  <c r="X13" i="2"/>
  <c r="Y13" i="2" s="1"/>
  <c r="Z13" i="2" s="1"/>
  <c r="AB13" i="2" s="1"/>
  <c r="X31" i="2"/>
  <c r="Y31" i="2" s="1"/>
  <c r="Z31" i="2" s="1"/>
  <c r="AB31" i="2" s="1"/>
  <c r="Y60" i="2"/>
  <c r="Z60" i="2" s="1"/>
  <c r="AB60" i="2" s="1"/>
  <c r="Z63" i="2"/>
  <c r="AB63" i="2" s="1"/>
  <c r="Z71" i="2"/>
  <c r="AB71" i="2" s="1"/>
  <c r="Y222" i="2"/>
  <c r="Z231" i="2"/>
  <c r="AB231" i="2" s="1"/>
  <c r="X252" i="2"/>
  <c r="Y252" i="2" s="1"/>
  <c r="Z252" i="2" s="1"/>
  <c r="AB252" i="2" s="1"/>
  <c r="Z290" i="2"/>
  <c r="AB290" i="2" s="1"/>
  <c r="Y448" i="2"/>
  <c r="Z448" i="2" s="1"/>
  <c r="AB448" i="2" s="1"/>
  <c r="W43" i="3"/>
  <c r="Y43" i="3" s="1"/>
  <c r="Z413" i="2"/>
  <c r="AB413" i="2" s="1"/>
  <c r="X136" i="2"/>
  <c r="Y136" i="2" s="1"/>
  <c r="Z136" i="2" s="1"/>
  <c r="AB136" i="2" s="1"/>
  <c r="Y399" i="2"/>
  <c r="BG4" i="1"/>
  <c r="BH4" i="1" s="1"/>
  <c r="BI4" i="1" s="1"/>
  <c r="BN4" i="1" s="1"/>
  <c r="Z26" i="2"/>
  <c r="AB26" i="2" s="1"/>
  <c r="Z59" i="2"/>
  <c r="AB59" i="2" s="1"/>
  <c r="X94" i="2"/>
  <c r="Y94" i="2" s="1"/>
  <c r="Z94" i="2" s="1"/>
  <c r="AB94" i="2" s="1"/>
  <c r="X193" i="2"/>
  <c r="Y193" i="2" s="1"/>
  <c r="Z193" i="2" s="1"/>
  <c r="AB193" i="2" s="1"/>
  <c r="X273" i="2"/>
  <c r="Y273" i="2" s="1"/>
  <c r="Z273" i="2" s="1"/>
  <c r="AB273" i="2" s="1"/>
  <c r="Z409" i="2"/>
  <c r="AB409" i="2" s="1"/>
  <c r="X435" i="2"/>
  <c r="Y435" i="2" s="1"/>
  <c r="Z435" i="2" s="1"/>
  <c r="AB435" i="2" s="1"/>
  <c r="Z86" i="2"/>
  <c r="AB86" i="2" s="1"/>
  <c r="Y87" i="2"/>
  <c r="Z87" i="2" s="1"/>
  <c r="AB87" i="2" s="1"/>
  <c r="X93" i="2"/>
  <c r="Y93" i="2" s="1"/>
  <c r="Z93" i="2" s="1"/>
  <c r="AB93" i="2" s="1"/>
  <c r="Y95" i="2"/>
  <c r="Z95" i="2" s="1"/>
  <c r="AB95" i="2" s="1"/>
  <c r="Z133" i="2"/>
  <c r="AB133" i="2" s="1"/>
  <c r="Z230" i="2"/>
  <c r="AB230" i="2" s="1"/>
  <c r="Y245" i="2"/>
  <c r="Z245" i="2" s="1"/>
  <c r="AB245" i="2" s="1"/>
  <c r="Y248" i="2"/>
  <c r="X253" i="2"/>
  <c r="Y253" i="2" s="1"/>
  <c r="Z253" i="2" s="1"/>
  <c r="AB253" i="2" s="1"/>
  <c r="Z370" i="2"/>
  <c r="AB370" i="2" s="1"/>
  <c r="X427" i="2"/>
  <c r="Y427" i="2" s="1"/>
  <c r="Z427" i="2" s="1"/>
  <c r="AB427" i="2" s="1"/>
  <c r="V26" i="3"/>
  <c r="W26" i="3" s="1"/>
  <c r="Y26" i="3" s="1"/>
  <c r="Z88" i="2"/>
  <c r="AB88" i="2" s="1"/>
  <c r="Z165" i="2"/>
  <c r="AB165" i="2" s="1"/>
  <c r="X180" i="2"/>
  <c r="Y180" i="2" s="1"/>
  <c r="Z180" i="2" s="1"/>
  <c r="AB180" i="2" s="1"/>
  <c r="Z196" i="2"/>
  <c r="AB196" i="2" s="1"/>
  <c r="Z22" i="2"/>
  <c r="AB22" i="2" s="1"/>
  <c r="Y198" i="2"/>
  <c r="Z198" i="2" s="1"/>
  <c r="AB198" i="2" s="1"/>
  <c r="Y220" i="2"/>
  <c r="Z220" i="2" s="1"/>
  <c r="AB220" i="2" s="1"/>
  <c r="Z18" i="2"/>
  <c r="AB18" i="2" s="1"/>
  <c r="Z192" i="2"/>
  <c r="AB192" i="2" s="1"/>
  <c r="Z260" i="2"/>
  <c r="AB260" i="2" s="1"/>
  <c r="X266" i="2"/>
  <c r="Y266" i="2" s="1"/>
  <c r="Z266" i="2" s="1"/>
  <c r="AB266" i="2" s="1"/>
  <c r="X411" i="2"/>
  <c r="Y411" i="2" s="1"/>
  <c r="Z411" i="2" s="1"/>
  <c r="AB411" i="2" s="1"/>
  <c r="Z240" i="2"/>
  <c r="AB240" i="2" s="1"/>
  <c r="Y52" i="2"/>
  <c r="Z52" i="2" s="1"/>
  <c r="AB52" i="2" s="1"/>
  <c r="Z80" i="2"/>
  <c r="AB80" i="2" s="1"/>
  <c r="Z130" i="2"/>
  <c r="AB130" i="2" s="1"/>
  <c r="Z143" i="2"/>
  <c r="AB143" i="2" s="1"/>
  <c r="X150" i="2"/>
  <c r="Y150" i="2" s="1"/>
  <c r="Z150" i="2" s="1"/>
  <c r="AB150" i="2" s="1"/>
  <c r="Z169" i="2"/>
  <c r="AB169" i="2" s="1"/>
  <c r="Z223" i="2"/>
  <c r="AB223" i="2" s="1"/>
  <c r="Y387" i="2"/>
  <c r="Z387" i="2" s="1"/>
  <c r="AB387" i="2" s="1"/>
  <c r="Z456" i="2"/>
  <c r="AB456" i="2" s="1"/>
  <c r="Z299" i="2"/>
  <c r="AB299" i="2" s="1"/>
  <c r="Z380" i="2"/>
  <c r="AB380" i="2" s="1"/>
  <c r="X400" i="2"/>
  <c r="Y400" i="2" s="1"/>
  <c r="Z400" i="2" s="1"/>
  <c r="AB400" i="2" s="1"/>
  <c r="Z415" i="2"/>
  <c r="AB415" i="2" s="1"/>
  <c r="Y277" i="2"/>
  <c r="Z277" i="2" s="1"/>
  <c r="AB277" i="2" s="1"/>
  <c r="X371" i="2"/>
  <c r="Y371" i="2" s="1"/>
  <c r="Z371" i="2" s="1"/>
  <c r="AB371" i="2" s="1"/>
  <c r="BC5" i="1"/>
  <c r="BD5" i="1" s="1"/>
  <c r="BL5" i="1" s="1"/>
  <c r="BH11" i="1"/>
  <c r="BI11" i="1" s="1"/>
  <c r="BN11" i="1" s="1"/>
  <c r="L13" i="1"/>
  <c r="BC20" i="1"/>
  <c r="BD20" i="1" s="1"/>
  <c r="BL20" i="1" s="1"/>
  <c r="W25" i="3"/>
  <c r="Y25" i="3" s="1"/>
  <c r="W55" i="3"/>
  <c r="Y55" i="3" s="1"/>
  <c r="W65" i="3"/>
  <c r="Y65" i="3" s="1"/>
  <c r="U69" i="3"/>
  <c r="V69" i="3" s="1"/>
  <c r="W69" i="3" s="1"/>
  <c r="Y69" i="3" s="1"/>
  <c r="U77" i="3"/>
  <c r="V77" i="3" s="1"/>
  <c r="W77" i="3" s="1"/>
  <c r="Y77" i="3" s="1"/>
  <c r="W90" i="3"/>
  <c r="Y90" i="3" s="1"/>
  <c r="U21" i="3"/>
  <c r="V21" i="3" s="1"/>
  <c r="W21" i="3" s="1"/>
  <c r="Y21" i="3" s="1"/>
  <c r="W27" i="3"/>
  <c r="Y27" i="3" s="1"/>
  <c r="V28" i="3"/>
  <c r="W28" i="3" s="1"/>
  <c r="Y28" i="3" s="1"/>
  <c r="V37" i="3"/>
  <c r="W37" i="3" s="1"/>
  <c r="Y37" i="3" s="1"/>
  <c r="V46" i="3"/>
  <c r="W46" i="3" s="1"/>
  <c r="Y46" i="3" s="1"/>
  <c r="V49" i="3"/>
  <c r="W49" i="3" s="1"/>
  <c r="Y49" i="3" s="1"/>
  <c r="U58" i="3"/>
  <c r="V58" i="3" s="1"/>
  <c r="W58" i="3" s="1"/>
  <c r="Y58" i="3" s="1"/>
  <c r="U64" i="3"/>
  <c r="V64" i="3" s="1"/>
  <c r="W64" i="3" s="1"/>
  <c r="Y64" i="3" s="1"/>
  <c r="W68" i="3"/>
  <c r="Y68" i="3" s="1"/>
  <c r="W76" i="3"/>
  <c r="Y76" i="3" s="1"/>
  <c r="U87" i="3"/>
  <c r="V87" i="3" s="1"/>
  <c r="W87" i="3" s="1"/>
  <c r="Y87" i="3" s="1"/>
  <c r="W12" i="3"/>
  <c r="Y12" i="3" s="1"/>
  <c r="Z213" i="2"/>
  <c r="AB213" i="2" s="1"/>
  <c r="Z248" i="2"/>
  <c r="AB248" i="2" s="1"/>
  <c r="Z392" i="2"/>
  <c r="AB392" i="2" s="1"/>
  <c r="W20" i="3"/>
  <c r="Y20" i="3" s="1"/>
  <c r="W67" i="3"/>
  <c r="Y67" i="3" s="1"/>
  <c r="U91" i="3"/>
  <c r="V91" i="3" s="1"/>
  <c r="W91" i="3" s="1"/>
  <c r="Y91" i="3" s="1"/>
  <c r="BH7" i="1"/>
  <c r="BI7" i="1" s="1"/>
  <c r="BN7" i="1" s="1"/>
  <c r="W11" i="3"/>
  <c r="Y11" i="3" s="1"/>
  <c r="W17" i="3"/>
  <c r="Y17" i="3" s="1"/>
  <c r="W19" i="3"/>
  <c r="Y19" i="3" s="1"/>
  <c r="U26" i="3"/>
  <c r="W36" i="3"/>
  <c r="Y36" i="3" s="1"/>
  <c r="W39" i="3"/>
  <c r="Y39" i="3" s="1"/>
  <c r="V42" i="3"/>
  <c r="W42" i="3" s="1"/>
  <c r="Y42" i="3" s="1"/>
  <c r="U48" i="3"/>
  <c r="V48" i="3" s="1"/>
  <c r="W48" i="3" s="1"/>
  <c r="Y48" i="3" s="1"/>
  <c r="U54" i="3"/>
  <c r="V54" i="3" s="1"/>
  <c r="W54" i="3" s="1"/>
  <c r="Y54" i="3" s="1"/>
  <c r="U78" i="3"/>
  <c r="V78" i="3" s="1"/>
  <c r="W78" i="3" s="1"/>
  <c r="Y78" i="3" s="1"/>
  <c r="U95" i="3"/>
  <c r="V95" i="3" s="1"/>
  <c r="W95" i="3" s="1"/>
  <c r="Y95" i="3" s="1"/>
  <c r="Z159" i="2"/>
  <c r="AB159" i="2" s="1"/>
  <c r="Z383" i="2"/>
  <c r="AB383" i="2" s="1"/>
  <c r="Y412" i="2"/>
  <c r="Z412" i="2" s="1"/>
  <c r="AB412" i="2" s="1"/>
  <c r="Z432" i="2"/>
  <c r="AB432" i="2" s="1"/>
  <c r="Z439" i="2"/>
  <c r="AB439" i="2" s="1"/>
  <c r="U2" i="3"/>
  <c r="V2" i="3" s="1"/>
  <c r="W2" i="3" s="1"/>
  <c r="Y2" i="3" s="1"/>
  <c r="U14" i="3"/>
  <c r="V14" i="3" s="1"/>
  <c r="W14" i="3" s="1"/>
  <c r="Y14" i="3" s="1"/>
  <c r="W35" i="3"/>
  <c r="Y35" i="3" s="1"/>
  <c r="W38" i="3"/>
  <c r="Y38" i="3" s="1"/>
  <c r="W50" i="3"/>
  <c r="Y50" i="3" s="1"/>
  <c r="V53" i="3"/>
  <c r="W53" i="3" s="1"/>
  <c r="Y53" i="3" s="1"/>
  <c r="W63" i="3"/>
  <c r="Y63" i="3" s="1"/>
  <c r="U66" i="3"/>
  <c r="V66" i="3" s="1"/>
  <c r="W66" i="3" s="1"/>
  <c r="Y66" i="3" s="1"/>
  <c r="U70" i="3"/>
  <c r="V70" i="3" s="1"/>
  <c r="W70" i="3" s="1"/>
  <c r="Y70" i="3" s="1"/>
  <c r="L21" i="1"/>
  <c r="W3" i="3"/>
  <c r="Y3" i="3" s="1"/>
  <c r="L10" i="1"/>
  <c r="L16" i="1"/>
  <c r="W92" i="3"/>
  <c r="Y92" i="3" s="1"/>
  <c r="Y374" i="2"/>
  <c r="Z374" i="2" s="1"/>
  <c r="AB374" i="2" s="1"/>
  <c r="Y393" i="2"/>
  <c r="Z393" i="2" s="1"/>
  <c r="AB393" i="2" s="1"/>
  <c r="L8" i="1"/>
  <c r="V83" i="3"/>
  <c r="W83" i="3" s="1"/>
  <c r="Y83" i="3" s="1"/>
  <c r="V97" i="3"/>
  <c r="W51" i="3"/>
  <c r="Y51" i="3" s="1"/>
  <c r="W75" i="3"/>
  <c r="Y75" i="3" s="1"/>
  <c r="Z51" i="2"/>
  <c r="AB51" i="2" s="1"/>
  <c r="Z5" i="2"/>
  <c r="AB5" i="2" s="1"/>
  <c r="Z36" i="2"/>
  <c r="AB36" i="2" s="1"/>
  <c r="Z102" i="2"/>
  <c r="AB102" i="2" s="1"/>
  <c r="Z100" i="2"/>
  <c r="AB100" i="2" s="1"/>
  <c r="Z34" i="2"/>
  <c r="AB34" i="2" s="1"/>
  <c r="Z149" i="2"/>
  <c r="AB149" i="2" s="1"/>
  <c r="Z104" i="2"/>
  <c r="AB104" i="2" s="1"/>
  <c r="Z120" i="2"/>
  <c r="AB120" i="2" s="1"/>
  <c r="Z33" i="2"/>
  <c r="AB33" i="2" s="1"/>
  <c r="Z37" i="2"/>
  <c r="AB37" i="2" s="1"/>
  <c r="X72" i="2"/>
  <c r="Y72" i="2" s="1"/>
  <c r="Z72" i="2" s="1"/>
  <c r="AB72" i="2" s="1"/>
  <c r="Z91" i="2"/>
  <c r="AB91" i="2" s="1"/>
  <c r="X188" i="2"/>
  <c r="Y188" i="2" s="1"/>
  <c r="Z188" i="2" s="1"/>
  <c r="AB188" i="2" s="1"/>
  <c r="X265" i="2"/>
  <c r="Y265" i="2" s="1"/>
  <c r="Z265" i="2" s="1"/>
  <c r="AB265" i="2" s="1"/>
  <c r="Z7" i="2"/>
  <c r="AB7" i="2" s="1"/>
  <c r="X20" i="2"/>
  <c r="Y20" i="2" s="1"/>
  <c r="Z20" i="2" s="1"/>
  <c r="AB20" i="2" s="1"/>
  <c r="Z35" i="2"/>
  <c r="AB35" i="2" s="1"/>
  <c r="Z50" i="2"/>
  <c r="AB50" i="2" s="1"/>
  <c r="X108" i="2"/>
  <c r="Y108" i="2" s="1"/>
  <c r="Z108" i="2" s="1"/>
  <c r="AB108" i="2" s="1"/>
  <c r="X122" i="2"/>
  <c r="Y122" i="2" s="1"/>
  <c r="Z122" i="2" s="1"/>
  <c r="AB122" i="2" s="1"/>
  <c r="X184" i="2"/>
  <c r="Y184" i="2" s="1"/>
  <c r="Z184" i="2" s="1"/>
  <c r="AB184" i="2" s="1"/>
  <c r="X320" i="2"/>
  <c r="Y320" i="2" s="1"/>
  <c r="Z320" i="2" s="1"/>
  <c r="AB320" i="2" s="1"/>
  <c r="X32" i="2"/>
  <c r="Y32" i="2" s="1"/>
  <c r="Z32" i="2" s="1"/>
  <c r="AB32" i="2" s="1"/>
  <c r="X47" i="2"/>
  <c r="Y47" i="2" s="1"/>
  <c r="Z47" i="2" s="1"/>
  <c r="AB47" i="2" s="1"/>
  <c r="Z65" i="2"/>
  <c r="AB65" i="2" s="1"/>
  <c r="Z78" i="2"/>
  <c r="AB78" i="2" s="1"/>
  <c r="Z96" i="2"/>
  <c r="AB96" i="2" s="1"/>
  <c r="X127" i="2"/>
  <c r="Y127" i="2" s="1"/>
  <c r="Z127" i="2" s="1"/>
  <c r="AB127" i="2" s="1"/>
  <c r="X144" i="2"/>
  <c r="Y144" i="2" s="1"/>
  <c r="Z144" i="2" s="1"/>
  <c r="AB144" i="2" s="1"/>
  <c r="X148" i="2"/>
  <c r="Y148" i="2" s="1"/>
  <c r="Z148" i="2" s="1"/>
  <c r="AB148" i="2" s="1"/>
  <c r="X170" i="2"/>
  <c r="Y170" i="2" s="1"/>
  <c r="Z170" i="2" s="1"/>
  <c r="AB170" i="2" s="1"/>
  <c r="Z202" i="2"/>
  <c r="AB202" i="2" s="1"/>
  <c r="Z229" i="2"/>
  <c r="AB229" i="2" s="1"/>
  <c r="Z256" i="2"/>
  <c r="AB256" i="2" s="1"/>
  <c r="Y14" i="2"/>
  <c r="Z14" i="2" s="1"/>
  <c r="AB14" i="2" s="1"/>
  <c r="X64" i="2"/>
  <c r="Y64" i="2" s="1"/>
  <c r="Z64" i="2" s="1"/>
  <c r="AB64" i="2" s="1"/>
  <c r="X77" i="2"/>
  <c r="Y77" i="2" s="1"/>
  <c r="Z77" i="2" s="1"/>
  <c r="AB77" i="2" s="1"/>
  <c r="Z89" i="2"/>
  <c r="AB89" i="2" s="1"/>
  <c r="X113" i="2"/>
  <c r="Y113" i="2" s="1"/>
  <c r="Z113" i="2" s="1"/>
  <c r="AB113" i="2" s="1"/>
  <c r="X121" i="2"/>
  <c r="Y121" i="2" s="1"/>
  <c r="Z121" i="2" s="1"/>
  <c r="AB121" i="2" s="1"/>
  <c r="Y126" i="2"/>
  <c r="Z126" i="2" s="1"/>
  <c r="AB126" i="2" s="1"/>
  <c r="Z128" i="2"/>
  <c r="AB128" i="2" s="1"/>
  <c r="Y147" i="2"/>
  <c r="Z147" i="2" s="1"/>
  <c r="AB147" i="2" s="1"/>
  <c r="X155" i="2"/>
  <c r="Y155" i="2" s="1"/>
  <c r="Z155" i="2" s="1"/>
  <c r="AB155" i="2" s="1"/>
  <c r="X244" i="2"/>
  <c r="Y244" i="2" s="1"/>
  <c r="Z244" i="2" s="1"/>
  <c r="AB244" i="2" s="1"/>
  <c r="Z276" i="2"/>
  <c r="AB276" i="2" s="1"/>
  <c r="Z187" i="2"/>
  <c r="AB187" i="2" s="1"/>
  <c r="X394" i="2"/>
  <c r="Y394" i="2" s="1"/>
  <c r="Z394" i="2" s="1"/>
  <c r="AB394" i="2" s="1"/>
  <c r="X398" i="2"/>
  <c r="Y398" i="2" s="1"/>
  <c r="Z398" i="2" s="1"/>
  <c r="AB398" i="2" s="1"/>
  <c r="X401" i="2"/>
  <c r="Y401" i="2" s="1"/>
  <c r="Z401" i="2" s="1"/>
  <c r="AB401" i="2" s="1"/>
  <c r="X40" i="2"/>
  <c r="Y40" i="2" s="1"/>
  <c r="Z40" i="2" s="1"/>
  <c r="AB40" i="2" s="1"/>
  <c r="Z85" i="2"/>
  <c r="AB85" i="2" s="1"/>
  <c r="X28" i="2"/>
  <c r="Y28" i="2" s="1"/>
  <c r="Z28" i="2" s="1"/>
  <c r="AB28" i="2" s="1"/>
  <c r="X57" i="2"/>
  <c r="Y57" i="2" s="1"/>
  <c r="Z57" i="2" s="1"/>
  <c r="AB57" i="2" s="1"/>
  <c r="Z69" i="2"/>
  <c r="AB69" i="2" s="1"/>
  <c r="X124" i="2"/>
  <c r="Y124" i="2" s="1"/>
  <c r="Z124" i="2" s="1"/>
  <c r="AB124" i="2" s="1"/>
  <c r="X182" i="2"/>
  <c r="Y182" i="2" s="1"/>
  <c r="Z182" i="2" s="1"/>
  <c r="AB182" i="2" s="1"/>
  <c r="X45" i="2"/>
  <c r="Y45" i="2" s="1"/>
  <c r="Z45" i="2" s="1"/>
  <c r="AB45" i="2" s="1"/>
  <c r="X103" i="2"/>
  <c r="Y103" i="2" s="1"/>
  <c r="Z103" i="2" s="1"/>
  <c r="AB103" i="2" s="1"/>
  <c r="X8" i="2"/>
  <c r="Y8" i="2" s="1"/>
  <c r="Z8" i="2" s="1"/>
  <c r="AB8" i="2" s="1"/>
  <c r="Z56" i="2"/>
  <c r="AB56" i="2" s="1"/>
  <c r="X68" i="2"/>
  <c r="Y68" i="2" s="1"/>
  <c r="Z68" i="2" s="1"/>
  <c r="AB68" i="2" s="1"/>
  <c r="X140" i="2"/>
  <c r="Y140" i="2"/>
  <c r="Z140" i="2" s="1"/>
  <c r="AB140" i="2" s="1"/>
  <c r="X185" i="2"/>
  <c r="Y185" i="2" s="1"/>
  <c r="Z185" i="2" s="1"/>
  <c r="AB185" i="2" s="1"/>
  <c r="X203" i="2"/>
  <c r="Y203" i="2" s="1"/>
  <c r="Z203" i="2" s="1"/>
  <c r="AB203" i="2" s="1"/>
  <c r="Z218" i="2"/>
  <c r="AB218" i="2" s="1"/>
  <c r="X243" i="2"/>
  <c r="Y243" i="2" s="1"/>
  <c r="Z243" i="2" s="1"/>
  <c r="AB243" i="2" s="1"/>
  <c r="Z262" i="2"/>
  <c r="AB262" i="2" s="1"/>
  <c r="X12" i="2"/>
  <c r="Y12" i="2" s="1"/>
  <c r="Z12" i="2" s="1"/>
  <c r="AB12" i="2" s="1"/>
  <c r="Y10" i="2"/>
  <c r="Z10" i="2" s="1"/>
  <c r="AB10" i="2" s="1"/>
  <c r="X74" i="2"/>
  <c r="Y74" i="2" s="1"/>
  <c r="Z74" i="2" s="1"/>
  <c r="AB74" i="2" s="1"/>
  <c r="Y44" i="2"/>
  <c r="Z44" i="2" s="1"/>
  <c r="AB44" i="2" s="1"/>
  <c r="Y2" i="2"/>
  <c r="Z2" i="2" s="1"/>
  <c r="AB2" i="2" s="1"/>
  <c r="X23" i="2"/>
  <c r="Y23" i="2" s="1"/>
  <c r="Z23" i="2" s="1"/>
  <c r="AB23" i="2" s="1"/>
  <c r="X157" i="2"/>
  <c r="Y157" i="2" s="1"/>
  <c r="Z157" i="2" s="1"/>
  <c r="AB157" i="2" s="1"/>
  <c r="Z200" i="2"/>
  <c r="AB200" i="2" s="1"/>
  <c r="X217" i="2"/>
  <c r="Y217" i="2" s="1"/>
  <c r="Z217" i="2" s="1"/>
  <c r="AB217" i="2" s="1"/>
  <c r="X142" i="2"/>
  <c r="Y142" i="2" s="1"/>
  <c r="Z142" i="2" s="1"/>
  <c r="AB142" i="2" s="1"/>
  <c r="Z15" i="2"/>
  <c r="AB15" i="2" s="1"/>
  <c r="X27" i="2"/>
  <c r="Y27" i="2" s="1"/>
  <c r="Z27" i="2" s="1"/>
  <c r="AB27" i="2" s="1"/>
  <c r="X55" i="2"/>
  <c r="Y55" i="2" s="1"/>
  <c r="Z55" i="2" s="1"/>
  <c r="AB55" i="2" s="1"/>
  <c r="X39" i="2"/>
  <c r="Y39" i="2" s="1"/>
  <c r="Z39" i="2" s="1"/>
  <c r="AB39" i="2" s="1"/>
  <c r="X53" i="2"/>
  <c r="Y53" i="2" s="1"/>
  <c r="Z53" i="2" s="1"/>
  <c r="AB53" i="2" s="1"/>
  <c r="Z82" i="2"/>
  <c r="AB82" i="2" s="1"/>
  <c r="Z106" i="2"/>
  <c r="AB106" i="2" s="1"/>
  <c r="X111" i="2"/>
  <c r="Y111" i="2" s="1"/>
  <c r="Z111" i="2" s="1"/>
  <c r="AB111" i="2" s="1"/>
  <c r="X131" i="2"/>
  <c r="Y131" i="2" s="1"/>
  <c r="Z131" i="2" s="1"/>
  <c r="AB131" i="2" s="1"/>
  <c r="Y146" i="2"/>
  <c r="Z146" i="2" s="1"/>
  <c r="AB146" i="2" s="1"/>
  <c r="Z153" i="2"/>
  <c r="AB153" i="2" s="1"/>
  <c r="Y6" i="2"/>
  <c r="Z6" i="2" s="1"/>
  <c r="AB6" i="2" s="1"/>
  <c r="Z11" i="2"/>
  <c r="AB11" i="2" s="1"/>
  <c r="X24" i="2"/>
  <c r="Y24" i="2" s="1"/>
  <c r="Z24" i="2" s="1"/>
  <c r="AB24" i="2" s="1"/>
  <c r="Z61" i="2"/>
  <c r="AB61" i="2" s="1"/>
  <c r="X81" i="2"/>
  <c r="Y81" i="2" s="1"/>
  <c r="Z81" i="2" s="1"/>
  <c r="AB81" i="2" s="1"/>
  <c r="Y110" i="2"/>
  <c r="Z110" i="2" s="1"/>
  <c r="AB110" i="2" s="1"/>
  <c r="Y116" i="2"/>
  <c r="Z116" i="2" s="1"/>
  <c r="AB116" i="2" s="1"/>
  <c r="Y145" i="2"/>
  <c r="Z145" i="2" s="1"/>
  <c r="AB145" i="2" s="1"/>
  <c r="X190" i="2"/>
  <c r="Y190" i="2" s="1"/>
  <c r="Z190" i="2" s="1"/>
  <c r="AB190" i="2" s="1"/>
  <c r="Z237" i="2"/>
  <c r="AB237" i="2" s="1"/>
  <c r="X257" i="2"/>
  <c r="Y257" i="2" s="1"/>
  <c r="Z257" i="2" s="1"/>
  <c r="AB257" i="2" s="1"/>
  <c r="Z278" i="2"/>
  <c r="AB278" i="2" s="1"/>
  <c r="X291" i="2"/>
  <c r="Y291" i="2" s="1"/>
  <c r="Z291" i="2" s="1"/>
  <c r="AB291" i="2" s="1"/>
  <c r="X352" i="2"/>
  <c r="Y352" i="2" s="1"/>
  <c r="Z352" i="2" s="1"/>
  <c r="AB352" i="2" s="1"/>
  <c r="Y4" i="2"/>
  <c r="Z4" i="2" s="1"/>
  <c r="AB4" i="2" s="1"/>
  <c r="Y19" i="2"/>
  <c r="Z19" i="2" s="1"/>
  <c r="AB19" i="2" s="1"/>
  <c r="X42" i="2"/>
  <c r="Y42" i="2" s="1"/>
  <c r="Z42" i="2" s="1"/>
  <c r="AB42" i="2" s="1"/>
  <c r="Z54" i="2"/>
  <c r="AB54" i="2" s="1"/>
  <c r="Z73" i="2"/>
  <c r="AB73" i="2" s="1"/>
  <c r="X90" i="2"/>
  <c r="Y90" i="2" s="1"/>
  <c r="Z90" i="2" s="1"/>
  <c r="AB90" i="2" s="1"/>
  <c r="X92" i="2"/>
  <c r="Y92" i="2" s="1"/>
  <c r="Z92" i="2" s="1"/>
  <c r="AB92" i="2" s="1"/>
  <c r="Y98" i="2"/>
  <c r="Z98" i="2" s="1"/>
  <c r="AB98" i="2" s="1"/>
  <c r="Z99" i="2"/>
  <c r="AB99" i="2" s="1"/>
  <c r="Z101" i="2"/>
  <c r="AB101" i="2" s="1"/>
  <c r="X115" i="2"/>
  <c r="Y115" i="2" s="1"/>
  <c r="Z115" i="2" s="1"/>
  <c r="AB115" i="2" s="1"/>
  <c r="X129" i="2"/>
  <c r="Y129" i="2" s="1"/>
  <c r="Z129" i="2" s="1"/>
  <c r="AB129" i="2" s="1"/>
  <c r="Z132" i="2"/>
  <c r="AB132" i="2" s="1"/>
  <c r="Y137" i="2"/>
  <c r="Z137" i="2" s="1"/>
  <c r="AB137" i="2" s="1"/>
  <c r="X145" i="2"/>
  <c r="Z151" i="2"/>
  <c r="AB151" i="2" s="1"/>
  <c r="X160" i="2"/>
  <c r="Y160" i="2" s="1"/>
  <c r="Z160" i="2" s="1"/>
  <c r="AB160" i="2" s="1"/>
  <c r="X167" i="2"/>
  <c r="Y167" i="2" s="1"/>
  <c r="Z167" i="2" s="1"/>
  <c r="AB167" i="2" s="1"/>
  <c r="X251" i="2"/>
  <c r="Y251" i="2" s="1"/>
  <c r="Z251" i="2" s="1"/>
  <c r="AB251" i="2" s="1"/>
  <c r="X158" i="2"/>
  <c r="Y158" i="2" s="1"/>
  <c r="Z158" i="2" s="1"/>
  <c r="AB158" i="2" s="1"/>
  <c r="X173" i="2"/>
  <c r="Y173" i="2" s="1"/>
  <c r="Z173" i="2" s="1"/>
  <c r="AB173" i="2" s="1"/>
  <c r="X204" i="2"/>
  <c r="Y204" i="2"/>
  <c r="Z204" i="2" s="1"/>
  <c r="AB204" i="2" s="1"/>
  <c r="X235" i="2"/>
  <c r="Y235" i="2" s="1"/>
  <c r="Z235" i="2" s="1"/>
  <c r="AB235" i="2" s="1"/>
  <c r="X255" i="2"/>
  <c r="Y255" i="2" s="1"/>
  <c r="Z255" i="2" s="1"/>
  <c r="AB255" i="2" s="1"/>
  <c r="X271" i="2"/>
  <c r="Y271" i="2" s="1"/>
  <c r="Z271" i="2" s="1"/>
  <c r="AB271" i="2" s="1"/>
  <c r="Z292" i="2"/>
  <c r="AB292" i="2" s="1"/>
  <c r="X358" i="2"/>
  <c r="Y358" i="2" s="1"/>
  <c r="Z358" i="2" s="1"/>
  <c r="AB358" i="2" s="1"/>
  <c r="Z359" i="2"/>
  <c r="AB359" i="2" s="1"/>
  <c r="Z364" i="2"/>
  <c r="AB364" i="2" s="1"/>
  <c r="Y43" i="2"/>
  <c r="Z43" i="2" s="1"/>
  <c r="AB43" i="2" s="1"/>
  <c r="Y48" i="2"/>
  <c r="Z48" i="2" s="1"/>
  <c r="AB48" i="2" s="1"/>
  <c r="Y62" i="2"/>
  <c r="Z62" i="2" s="1"/>
  <c r="AB62" i="2" s="1"/>
  <c r="Y66" i="2"/>
  <c r="Z66" i="2" s="1"/>
  <c r="AB66" i="2" s="1"/>
  <c r="Y70" i="2"/>
  <c r="Z70" i="2" s="1"/>
  <c r="AB70" i="2" s="1"/>
  <c r="Y75" i="2"/>
  <c r="Z75" i="2" s="1"/>
  <c r="AB75" i="2" s="1"/>
  <c r="X79" i="2"/>
  <c r="Y79" i="2" s="1"/>
  <c r="Z79" i="2" s="1"/>
  <c r="AB79" i="2" s="1"/>
  <c r="X83" i="2"/>
  <c r="Y83" i="2" s="1"/>
  <c r="Z83" i="2" s="1"/>
  <c r="AB83" i="2" s="1"/>
  <c r="Y109" i="2"/>
  <c r="Z109" i="2" s="1"/>
  <c r="AB109" i="2" s="1"/>
  <c r="Y114" i="2"/>
  <c r="Z114" i="2" s="1"/>
  <c r="AB114" i="2" s="1"/>
  <c r="X119" i="2"/>
  <c r="Y119" i="2" s="1"/>
  <c r="Z119" i="2" s="1"/>
  <c r="AB119" i="2" s="1"/>
  <c r="Y125" i="2"/>
  <c r="Z125" i="2" s="1"/>
  <c r="AB125" i="2" s="1"/>
  <c r="Y134" i="2"/>
  <c r="Z134" i="2" s="1"/>
  <c r="AB134" i="2" s="1"/>
  <c r="Y161" i="2"/>
  <c r="Z161" i="2" s="1"/>
  <c r="AB161" i="2" s="1"/>
  <c r="X163" i="2"/>
  <c r="Y163" i="2" s="1"/>
  <c r="Z163" i="2" s="1"/>
  <c r="AB163" i="2" s="1"/>
  <c r="Y164" i="2"/>
  <c r="Z164" i="2" s="1"/>
  <c r="AB164" i="2" s="1"/>
  <c r="Y168" i="2"/>
  <c r="Z168" i="2" s="1"/>
  <c r="AB168" i="2" s="1"/>
  <c r="Y172" i="2"/>
  <c r="Z172" i="2" s="1"/>
  <c r="AB172" i="2" s="1"/>
  <c r="Y176" i="2"/>
  <c r="Z176" i="2" s="1"/>
  <c r="AB176" i="2" s="1"/>
  <c r="X177" i="2"/>
  <c r="Y177" i="2" s="1"/>
  <c r="Z177" i="2" s="1"/>
  <c r="AB177" i="2" s="1"/>
  <c r="X178" i="2"/>
  <c r="Y178" i="2" s="1"/>
  <c r="Z178" i="2" s="1"/>
  <c r="AB178" i="2" s="1"/>
  <c r="Y181" i="2"/>
  <c r="Z181" i="2" s="1"/>
  <c r="AB181" i="2" s="1"/>
  <c r="X205" i="2"/>
  <c r="Y205" i="2" s="1"/>
  <c r="Z205" i="2" s="1"/>
  <c r="AB205" i="2" s="1"/>
  <c r="Y206" i="2"/>
  <c r="Z206" i="2" s="1"/>
  <c r="AB206" i="2" s="1"/>
  <c r="X219" i="2"/>
  <c r="Y219" i="2" s="1"/>
  <c r="Z219" i="2" s="1"/>
  <c r="AB219" i="2" s="1"/>
  <c r="Z234" i="2"/>
  <c r="AB234" i="2" s="1"/>
  <c r="Z236" i="2"/>
  <c r="AB236" i="2" s="1"/>
  <c r="Y250" i="2"/>
  <c r="Z250" i="2" s="1"/>
  <c r="AB250" i="2" s="1"/>
  <c r="X254" i="2"/>
  <c r="Y254" i="2" s="1"/>
  <c r="Z254" i="2" s="1"/>
  <c r="AB254" i="2" s="1"/>
  <c r="X270" i="2"/>
  <c r="Y270" i="2" s="1"/>
  <c r="Z270" i="2" s="1"/>
  <c r="AB270" i="2" s="1"/>
  <c r="Y286" i="2"/>
  <c r="Z286" i="2" s="1"/>
  <c r="AB286" i="2" s="1"/>
  <c r="X287" i="2"/>
  <c r="Y287" i="2" s="1"/>
  <c r="Z287" i="2" s="1"/>
  <c r="AB287" i="2" s="1"/>
  <c r="Y289" i="2"/>
  <c r="Z289" i="2" s="1"/>
  <c r="AB289" i="2" s="1"/>
  <c r="Y318" i="2"/>
  <c r="Z318" i="2" s="1"/>
  <c r="AB318" i="2" s="1"/>
  <c r="X372" i="2"/>
  <c r="Y372" i="2" s="1"/>
  <c r="Z372" i="2" s="1"/>
  <c r="AB372" i="2" s="1"/>
  <c r="X404" i="2"/>
  <c r="Y404" i="2" s="1"/>
  <c r="Z404" i="2" s="1"/>
  <c r="AB404" i="2" s="1"/>
  <c r="Z272" i="2"/>
  <c r="AB272" i="2" s="1"/>
  <c r="Z363" i="2"/>
  <c r="AB363" i="2" s="1"/>
  <c r="Y241" i="2"/>
  <c r="Z241" i="2" s="1"/>
  <c r="AB241" i="2" s="1"/>
  <c r="X247" i="2"/>
  <c r="Y247" i="2" s="1"/>
  <c r="Z247" i="2" s="1"/>
  <c r="AB247" i="2" s="1"/>
  <c r="Y285" i="2"/>
  <c r="Z285" i="2" s="1"/>
  <c r="AB285" i="2" s="1"/>
  <c r="X297" i="2"/>
  <c r="Y297" i="2" s="1"/>
  <c r="Z297" i="2" s="1"/>
  <c r="AB297" i="2" s="1"/>
  <c r="Y298" i="2"/>
  <c r="Z298" i="2" s="1"/>
  <c r="AB298" i="2" s="1"/>
  <c r="X350" i="2"/>
  <c r="Y350" i="2" s="1"/>
  <c r="Z350" i="2" s="1"/>
  <c r="AB350" i="2" s="1"/>
  <c r="Z366" i="2"/>
  <c r="AB366" i="2" s="1"/>
  <c r="Z242" i="2"/>
  <c r="AB242" i="2" s="1"/>
  <c r="Z246" i="2"/>
  <c r="AB246" i="2" s="1"/>
  <c r="Z249" i="2"/>
  <c r="AB249" i="2" s="1"/>
  <c r="X282" i="2"/>
  <c r="Y282" i="2" s="1"/>
  <c r="Z282" i="2" s="1"/>
  <c r="AB282" i="2" s="1"/>
  <c r="Z296" i="2"/>
  <c r="AB296" i="2" s="1"/>
  <c r="X312" i="2"/>
  <c r="Y312" i="2" s="1"/>
  <c r="Z312" i="2" s="1"/>
  <c r="AB312" i="2" s="1"/>
  <c r="Z390" i="2"/>
  <c r="AB390" i="2" s="1"/>
  <c r="X199" i="2"/>
  <c r="Y199" i="2" s="1"/>
  <c r="Z199" i="2" s="1"/>
  <c r="AB199" i="2" s="1"/>
  <c r="Z399" i="2"/>
  <c r="AB399" i="2" s="1"/>
  <c r="X201" i="2"/>
  <c r="Y201" i="2" s="1"/>
  <c r="Z201" i="2" s="1"/>
  <c r="AB201" i="2" s="1"/>
  <c r="Z189" i="2"/>
  <c r="AB189" i="2" s="1"/>
  <c r="Z191" i="2"/>
  <c r="AB191" i="2" s="1"/>
  <c r="X225" i="2"/>
  <c r="Y225" i="2" s="1"/>
  <c r="Z225" i="2" s="1"/>
  <c r="AB225" i="2" s="1"/>
  <c r="Z226" i="2"/>
  <c r="AB226" i="2" s="1"/>
  <c r="Z228" i="2"/>
  <c r="AB228" i="2" s="1"/>
  <c r="Z238" i="2"/>
  <c r="AB238" i="2" s="1"/>
  <c r="X281" i="2"/>
  <c r="Y281" i="2" s="1"/>
  <c r="Z281" i="2" s="1"/>
  <c r="AB281" i="2" s="1"/>
  <c r="Z369" i="2"/>
  <c r="AB369" i="2" s="1"/>
  <c r="X373" i="2"/>
  <c r="Y373" i="2" s="1"/>
  <c r="Z373" i="2" s="1"/>
  <c r="AB373" i="2" s="1"/>
  <c r="Y16" i="2"/>
  <c r="Z16" i="2" s="1"/>
  <c r="AB16" i="2" s="1"/>
  <c r="Y17" i="2"/>
  <c r="Z17" i="2" s="1"/>
  <c r="AB17" i="2" s="1"/>
  <c r="Y21" i="2"/>
  <c r="Z21" i="2" s="1"/>
  <c r="AB21" i="2" s="1"/>
  <c r="Y25" i="2"/>
  <c r="Z25" i="2" s="1"/>
  <c r="AB25" i="2" s="1"/>
  <c r="Y29" i="2"/>
  <c r="Z29" i="2" s="1"/>
  <c r="AB29" i="2" s="1"/>
  <c r="Y41" i="2"/>
  <c r="Z41" i="2" s="1"/>
  <c r="AB41" i="2" s="1"/>
  <c r="Y46" i="2"/>
  <c r="Z46" i="2" s="1"/>
  <c r="AB46" i="2" s="1"/>
  <c r="Y107" i="2"/>
  <c r="Z107" i="2" s="1"/>
  <c r="AB107" i="2" s="1"/>
  <c r="Y112" i="2"/>
  <c r="Z112" i="2" s="1"/>
  <c r="AB112" i="2" s="1"/>
  <c r="X117" i="2"/>
  <c r="Y117" i="2" s="1"/>
  <c r="Z117" i="2" s="1"/>
  <c r="AB117" i="2" s="1"/>
  <c r="Y123" i="2"/>
  <c r="Z123" i="2" s="1"/>
  <c r="AB123" i="2" s="1"/>
  <c r="Y156" i="2"/>
  <c r="Z156" i="2" s="1"/>
  <c r="AB156" i="2" s="1"/>
  <c r="X195" i="2"/>
  <c r="Y195" i="2" s="1"/>
  <c r="Z195" i="2" s="1"/>
  <c r="AB195" i="2" s="1"/>
  <c r="X197" i="2"/>
  <c r="Y197" i="2" s="1"/>
  <c r="Z197" i="2" s="1"/>
  <c r="AB197" i="2" s="1"/>
  <c r="Y209" i="2"/>
  <c r="Z209" i="2" s="1"/>
  <c r="AB209" i="2" s="1"/>
  <c r="Y211" i="2"/>
  <c r="Z211" i="2" s="1"/>
  <c r="AB211" i="2" s="1"/>
  <c r="Z222" i="2"/>
  <c r="AB222" i="2" s="1"/>
  <c r="Y233" i="2"/>
  <c r="Z233" i="2" s="1"/>
  <c r="AB233" i="2" s="1"/>
  <c r="Y259" i="2"/>
  <c r="Z259" i="2" s="1"/>
  <c r="AB259" i="2" s="1"/>
  <c r="X275" i="2"/>
  <c r="Y275" i="2" s="1"/>
  <c r="Z275" i="2" s="1"/>
  <c r="AB275" i="2" s="1"/>
  <c r="Y279" i="2"/>
  <c r="Z279" i="2" s="1"/>
  <c r="AB279" i="2" s="1"/>
  <c r="Z280" i="2"/>
  <c r="AB280" i="2" s="1"/>
  <c r="X382" i="2"/>
  <c r="Y382" i="2" s="1"/>
  <c r="Z382" i="2" s="1"/>
  <c r="AB382" i="2" s="1"/>
  <c r="X396" i="2"/>
  <c r="Y396" i="2" s="1"/>
  <c r="Z396" i="2" s="1"/>
  <c r="AB396" i="2" s="1"/>
  <c r="Z407" i="2"/>
  <c r="AB407" i="2" s="1"/>
  <c r="Z428" i="2"/>
  <c r="AB428" i="2" s="1"/>
  <c r="X437" i="2"/>
  <c r="Y437" i="2" s="1"/>
  <c r="Z437" i="2" s="1"/>
  <c r="AB437" i="2" s="1"/>
  <c r="Y210" i="2"/>
  <c r="Z210" i="2" s="1"/>
  <c r="AB210" i="2" s="1"/>
  <c r="Y267" i="2"/>
  <c r="Z267" i="2" s="1"/>
  <c r="AB267" i="2" s="1"/>
  <c r="Y324" i="2"/>
  <c r="Z324" i="2" s="1"/>
  <c r="AB324" i="2" s="1"/>
  <c r="Y326" i="2"/>
  <c r="Z326" i="2" s="1"/>
  <c r="AB326" i="2" s="1"/>
  <c r="X328" i="2"/>
  <c r="Y328" i="2" s="1"/>
  <c r="Z328" i="2" s="1"/>
  <c r="AB328" i="2" s="1"/>
  <c r="X330" i="2"/>
  <c r="Y330" i="2" s="1"/>
  <c r="Z330" i="2" s="1"/>
  <c r="AB330" i="2" s="1"/>
  <c r="Y368" i="2"/>
  <c r="Z368" i="2" s="1"/>
  <c r="AB368" i="2" s="1"/>
  <c r="Z395" i="2"/>
  <c r="AB395" i="2" s="1"/>
  <c r="Z426" i="2"/>
  <c r="AB426" i="2" s="1"/>
  <c r="Z367" i="2"/>
  <c r="AB367" i="2" s="1"/>
  <c r="X416" i="2"/>
  <c r="Y416" i="2" s="1"/>
  <c r="Z416" i="2" s="1"/>
  <c r="AB416" i="2" s="1"/>
  <c r="X445" i="2"/>
  <c r="Y445" i="2" s="1"/>
  <c r="Z445" i="2" s="1"/>
  <c r="AB445" i="2" s="1"/>
  <c r="X362" i="2"/>
  <c r="Y362" i="2" s="1"/>
  <c r="Z362" i="2" s="1"/>
  <c r="AB362" i="2" s="1"/>
  <c r="X378" i="2"/>
  <c r="Y378" i="2" s="1"/>
  <c r="Z378" i="2" s="1"/>
  <c r="AB378" i="2" s="1"/>
  <c r="X385" i="2"/>
  <c r="Y385" i="2" s="1"/>
  <c r="Z385" i="2" s="1"/>
  <c r="AB385" i="2" s="1"/>
  <c r="X397" i="2"/>
  <c r="Y397" i="2" s="1"/>
  <c r="Z397" i="2" s="1"/>
  <c r="AB397" i="2" s="1"/>
  <c r="X403" i="2"/>
  <c r="Y403" i="2" s="1"/>
  <c r="Z403" i="2" s="1"/>
  <c r="AB403" i="2" s="1"/>
  <c r="Z410" i="2"/>
  <c r="AB410" i="2" s="1"/>
  <c r="Z421" i="2"/>
  <c r="AB421" i="2" s="1"/>
  <c r="X314" i="2"/>
  <c r="Y314" i="2" s="1"/>
  <c r="Z314" i="2" s="1"/>
  <c r="AB314" i="2" s="1"/>
  <c r="X344" i="2"/>
  <c r="Y344" i="2" s="1"/>
  <c r="Z344" i="2" s="1"/>
  <c r="AB344" i="2" s="1"/>
  <c r="X346" i="2"/>
  <c r="Y346" i="2" s="1"/>
  <c r="Z346" i="2" s="1"/>
  <c r="AB346" i="2" s="1"/>
  <c r="X166" i="2"/>
  <c r="Y166" i="2" s="1"/>
  <c r="Z166" i="2" s="1"/>
  <c r="AB166" i="2" s="1"/>
  <c r="Y174" i="2"/>
  <c r="Z174" i="2" s="1"/>
  <c r="AB174" i="2" s="1"/>
  <c r="Y175" i="2"/>
  <c r="Z175" i="2" s="1"/>
  <c r="AB175" i="2" s="1"/>
  <c r="Y179" i="2"/>
  <c r="Z179" i="2" s="1"/>
  <c r="AB179" i="2" s="1"/>
  <c r="Y183" i="2"/>
  <c r="Z183" i="2" s="1"/>
  <c r="AB183" i="2" s="1"/>
  <c r="X207" i="2"/>
  <c r="Y207" i="2" s="1"/>
  <c r="Z207" i="2" s="1"/>
  <c r="AB207" i="2" s="1"/>
  <c r="X208" i="2"/>
  <c r="Y208" i="2" s="1"/>
  <c r="Z208" i="2" s="1"/>
  <c r="AB208" i="2" s="1"/>
  <c r="X212" i="2"/>
  <c r="Y212" i="2" s="1"/>
  <c r="Z212" i="2" s="1"/>
  <c r="AB212" i="2" s="1"/>
  <c r="Y261" i="2"/>
  <c r="Z261" i="2" s="1"/>
  <c r="AB261" i="2" s="1"/>
  <c r="Y263" i="2"/>
  <c r="Z263" i="2" s="1"/>
  <c r="AB263" i="2" s="1"/>
  <c r="X283" i="2"/>
  <c r="Y283" i="2" s="1"/>
  <c r="Z283" i="2" s="1"/>
  <c r="AB283" i="2" s="1"/>
  <c r="Y293" i="2"/>
  <c r="Z293" i="2" s="1"/>
  <c r="AB293" i="2" s="1"/>
  <c r="Y295" i="2"/>
  <c r="Z295" i="2" s="1"/>
  <c r="AB295" i="2" s="1"/>
  <c r="Y302" i="2"/>
  <c r="Z302" i="2" s="1"/>
  <c r="AB302" i="2" s="1"/>
  <c r="X304" i="2"/>
  <c r="Y304" i="2" s="1"/>
  <c r="Z304" i="2" s="1"/>
  <c r="AB304" i="2" s="1"/>
  <c r="X308" i="2"/>
  <c r="Y308" i="2" s="1"/>
  <c r="Z308" i="2" s="1"/>
  <c r="AB308" i="2" s="1"/>
  <c r="X310" i="2"/>
  <c r="Y310" i="2" s="1"/>
  <c r="Z310" i="2" s="1"/>
  <c r="AB310" i="2" s="1"/>
  <c r="Y334" i="2"/>
  <c r="Z334" i="2" s="1"/>
  <c r="AB334" i="2" s="1"/>
  <c r="X336" i="2"/>
  <c r="Y336" i="2" s="1"/>
  <c r="Z336" i="2" s="1"/>
  <c r="AB336" i="2" s="1"/>
  <c r="X340" i="2"/>
  <c r="Y340" i="2" s="1"/>
  <c r="Z340" i="2" s="1"/>
  <c r="AB340" i="2" s="1"/>
  <c r="X342" i="2"/>
  <c r="Y342" i="2" s="1"/>
  <c r="Z342" i="2" s="1"/>
  <c r="AB342" i="2" s="1"/>
  <c r="Z357" i="2"/>
  <c r="AB357" i="2" s="1"/>
  <c r="X375" i="2"/>
  <c r="Y375" i="2" s="1"/>
  <c r="Z375" i="2" s="1"/>
  <c r="AB375" i="2" s="1"/>
  <c r="X377" i="2"/>
  <c r="Y377" i="2" s="1"/>
  <c r="Z377" i="2" s="1"/>
  <c r="AB377" i="2" s="1"/>
  <c r="Y388" i="2"/>
  <c r="Z388" i="2" s="1"/>
  <c r="AB388" i="2" s="1"/>
  <c r="Z424" i="2"/>
  <c r="AB424" i="2" s="1"/>
  <c r="X449" i="2"/>
  <c r="Y449" i="2" s="1"/>
  <c r="Z449" i="2" s="1"/>
  <c r="AB449" i="2" s="1"/>
  <c r="BG5" i="1"/>
  <c r="BH5" i="1" s="1"/>
  <c r="BI5" i="1" s="1"/>
  <c r="BN5" i="1" s="1"/>
  <c r="W96" i="3"/>
  <c r="Y96" i="3" s="1"/>
  <c r="Y306" i="2"/>
  <c r="Z306" i="2" s="1"/>
  <c r="AB306" i="2" s="1"/>
  <c r="Y322" i="2"/>
  <c r="Z322" i="2" s="1"/>
  <c r="AB322" i="2" s="1"/>
  <c r="Y338" i="2"/>
  <c r="Z338" i="2" s="1"/>
  <c r="AB338" i="2" s="1"/>
  <c r="Y354" i="2"/>
  <c r="Z354" i="2" s="1"/>
  <c r="AB354" i="2" s="1"/>
  <c r="Z361" i="2"/>
  <c r="AB361" i="2" s="1"/>
  <c r="X441" i="2"/>
  <c r="Y441" i="2" s="1"/>
  <c r="Z441" i="2" s="1"/>
  <c r="AB441" i="2" s="1"/>
  <c r="X418" i="2"/>
  <c r="Y418" i="2" s="1"/>
  <c r="Z418" i="2" s="1"/>
  <c r="AB418" i="2" s="1"/>
  <c r="X425" i="2"/>
  <c r="Y425" i="2" s="1"/>
  <c r="Z425" i="2" s="1"/>
  <c r="AB425" i="2" s="1"/>
  <c r="Z440" i="2"/>
  <c r="AB440" i="2" s="1"/>
  <c r="Y446" i="2"/>
  <c r="Z446" i="2" s="1"/>
  <c r="AB446" i="2" s="1"/>
  <c r="BG8" i="1"/>
  <c r="BH8" i="1" s="1"/>
  <c r="BI8" i="1" s="1"/>
  <c r="BN8" i="1" s="1"/>
  <c r="W59" i="3"/>
  <c r="Y59" i="3" s="1"/>
  <c r="X457" i="2"/>
  <c r="Y457" i="2" s="1"/>
  <c r="Z457" i="2" s="1"/>
  <c r="AB457" i="2" s="1"/>
  <c r="Z376" i="2"/>
  <c r="AB376" i="2" s="1"/>
  <c r="X406" i="2"/>
  <c r="Y406" i="2" s="1"/>
  <c r="Z406" i="2" s="1"/>
  <c r="AB406" i="2" s="1"/>
  <c r="Z443" i="2"/>
  <c r="AB443" i="2" s="1"/>
  <c r="X454" i="2"/>
  <c r="Y454" i="2" s="1"/>
  <c r="Z454" i="2" s="1"/>
  <c r="AB454" i="2" s="1"/>
  <c r="BB11" i="1"/>
  <c r="BC11" i="1" s="1"/>
  <c r="BD11" i="1" s="1"/>
  <c r="BL11" i="1" s="1"/>
  <c r="BG12" i="1"/>
  <c r="BH12" i="1" s="1"/>
  <c r="BI12" i="1" s="1"/>
  <c r="BN12" i="1" s="1"/>
  <c r="BG18" i="1"/>
  <c r="BH18" i="1" s="1"/>
  <c r="BI18" i="1" s="1"/>
  <c r="BN18" i="1" s="1"/>
  <c r="W57" i="3"/>
  <c r="Y57" i="3" s="1"/>
  <c r="Y316" i="2"/>
  <c r="Z316" i="2" s="1"/>
  <c r="AB316" i="2" s="1"/>
  <c r="Y332" i="2"/>
  <c r="Z332" i="2" s="1"/>
  <c r="AB332" i="2" s="1"/>
  <c r="Y348" i="2"/>
  <c r="Z348" i="2" s="1"/>
  <c r="AB348" i="2" s="1"/>
  <c r="Y360" i="2"/>
  <c r="Z360" i="2" s="1"/>
  <c r="AB360" i="2" s="1"/>
  <c r="X389" i="2"/>
  <c r="Y389" i="2" s="1"/>
  <c r="Z389" i="2" s="1"/>
  <c r="AB389" i="2" s="1"/>
  <c r="Y408" i="2"/>
  <c r="Z408" i="2" s="1"/>
  <c r="AB408" i="2" s="1"/>
  <c r="X433" i="2"/>
  <c r="Y433" i="2" s="1"/>
  <c r="Z433" i="2" s="1"/>
  <c r="AB433" i="2" s="1"/>
  <c r="Z444" i="2"/>
  <c r="AB444" i="2" s="1"/>
  <c r="X452" i="2"/>
  <c r="Y452" i="2" s="1"/>
  <c r="Z452" i="2" s="1"/>
  <c r="AB452" i="2" s="1"/>
  <c r="Y303" i="2"/>
  <c r="Z303" i="2" s="1"/>
  <c r="AB303" i="2" s="1"/>
  <c r="Y307" i="2"/>
  <c r="Z307" i="2" s="1"/>
  <c r="AB307" i="2" s="1"/>
  <c r="Y311" i="2"/>
  <c r="Z311" i="2" s="1"/>
  <c r="AB311" i="2" s="1"/>
  <c r="Y315" i="2"/>
  <c r="Z315" i="2" s="1"/>
  <c r="AB315" i="2" s="1"/>
  <c r="Y319" i="2"/>
  <c r="Z319" i="2" s="1"/>
  <c r="AB319" i="2" s="1"/>
  <c r="Y323" i="2"/>
  <c r="Z323" i="2" s="1"/>
  <c r="AB323" i="2" s="1"/>
  <c r="Y327" i="2"/>
  <c r="Z327" i="2" s="1"/>
  <c r="AB327" i="2" s="1"/>
  <c r="Y331" i="2"/>
  <c r="Z331" i="2" s="1"/>
  <c r="AB331" i="2" s="1"/>
  <c r="Y335" i="2"/>
  <c r="Z335" i="2" s="1"/>
  <c r="AB335" i="2" s="1"/>
  <c r="Y339" i="2"/>
  <c r="Z339" i="2" s="1"/>
  <c r="AB339" i="2" s="1"/>
  <c r="Y343" i="2"/>
  <c r="Z343" i="2" s="1"/>
  <c r="AB343" i="2" s="1"/>
  <c r="Y347" i="2"/>
  <c r="Z347" i="2" s="1"/>
  <c r="AB347" i="2" s="1"/>
  <c r="Y351" i="2"/>
  <c r="Z351" i="2" s="1"/>
  <c r="AB351" i="2" s="1"/>
  <c r="Y355" i="2"/>
  <c r="Z355" i="2" s="1"/>
  <c r="AB355" i="2" s="1"/>
  <c r="Y405" i="2"/>
  <c r="Z405" i="2" s="1"/>
  <c r="AB405" i="2" s="1"/>
  <c r="BB6" i="1"/>
  <c r="BC6" i="1" s="1"/>
  <c r="BD6" i="1" s="1"/>
  <c r="BL6" i="1" s="1"/>
  <c r="W88" i="3"/>
  <c r="Y88" i="3" s="1"/>
  <c r="BB19" i="1"/>
  <c r="BC19" i="1" s="1"/>
  <c r="BD19" i="1" s="1"/>
  <c r="BL19" i="1" s="1"/>
  <c r="W9" i="3"/>
  <c r="Y9" i="3" s="1"/>
  <c r="W44" i="3"/>
  <c r="Y44" i="3" s="1"/>
  <c r="Y300" i="2"/>
  <c r="Z300" i="2" s="1"/>
  <c r="AB300" i="2" s="1"/>
  <c r="Y301" i="2"/>
  <c r="Z301" i="2" s="1"/>
  <c r="AB301" i="2" s="1"/>
  <c r="Y305" i="2"/>
  <c r="Z305" i="2" s="1"/>
  <c r="AB305" i="2" s="1"/>
  <c r="Y309" i="2"/>
  <c r="Z309" i="2" s="1"/>
  <c r="AB309" i="2" s="1"/>
  <c r="Y313" i="2"/>
  <c r="Z313" i="2" s="1"/>
  <c r="AB313" i="2" s="1"/>
  <c r="Y317" i="2"/>
  <c r="Z317" i="2" s="1"/>
  <c r="AB317" i="2" s="1"/>
  <c r="Y321" i="2"/>
  <c r="Z321" i="2" s="1"/>
  <c r="AB321" i="2" s="1"/>
  <c r="Y325" i="2"/>
  <c r="Z325" i="2" s="1"/>
  <c r="AB325" i="2" s="1"/>
  <c r="Y329" i="2"/>
  <c r="Z329" i="2" s="1"/>
  <c r="AB329" i="2" s="1"/>
  <c r="Y333" i="2"/>
  <c r="Z333" i="2" s="1"/>
  <c r="AB333" i="2" s="1"/>
  <c r="Y337" i="2"/>
  <c r="Z337" i="2" s="1"/>
  <c r="AB337" i="2" s="1"/>
  <c r="Y341" i="2"/>
  <c r="Z341" i="2" s="1"/>
  <c r="AB341" i="2" s="1"/>
  <c r="Y345" i="2"/>
  <c r="Z345" i="2" s="1"/>
  <c r="AB345" i="2" s="1"/>
  <c r="Y349" i="2"/>
  <c r="Z349" i="2" s="1"/>
  <c r="AB349" i="2" s="1"/>
  <c r="Y353" i="2"/>
  <c r="Z353" i="2" s="1"/>
  <c r="AB353" i="2" s="1"/>
  <c r="Y381" i="2"/>
  <c r="Z381" i="2" s="1"/>
  <c r="AB381" i="2" s="1"/>
  <c r="Y386" i="2"/>
  <c r="Z386" i="2" s="1"/>
  <c r="AB386" i="2" s="1"/>
  <c r="Z417" i="2"/>
  <c r="AB417" i="2" s="1"/>
  <c r="X429" i="2"/>
  <c r="Y429" i="2" s="1"/>
  <c r="Z429" i="2" s="1"/>
  <c r="AB429" i="2" s="1"/>
  <c r="BG3" i="1"/>
  <c r="BH3" i="1" s="1"/>
  <c r="BI3" i="1" s="1"/>
  <c r="BN3" i="1" s="1"/>
  <c r="BB8" i="1"/>
  <c r="BC8" i="1" s="1"/>
  <c r="BD8" i="1" s="1"/>
  <c r="BL8" i="1" s="1"/>
  <c r="W47" i="3"/>
  <c r="Y47" i="3" s="1"/>
  <c r="W72" i="3"/>
  <c r="Y72" i="3" s="1"/>
  <c r="W31" i="3"/>
  <c r="Y31" i="3" s="1"/>
  <c r="W56" i="3"/>
  <c r="Y56" i="3" s="1"/>
  <c r="W61" i="3"/>
  <c r="Y61" i="3" s="1"/>
  <c r="Y450" i="2"/>
  <c r="Z450" i="2" s="1"/>
  <c r="AB450" i="2" s="1"/>
  <c r="BH9" i="1"/>
  <c r="BI9" i="1" s="1"/>
  <c r="BN9" i="1" s="1"/>
  <c r="W15" i="3"/>
  <c r="Y15" i="3" s="1"/>
  <c r="W40" i="3"/>
  <c r="Y40" i="3" s="1"/>
  <c r="W45" i="3"/>
  <c r="Y45" i="3" s="1"/>
  <c r="W4" i="3"/>
  <c r="Y4" i="3" s="1"/>
  <c r="W24" i="3"/>
  <c r="Y24" i="3" s="1"/>
  <c r="W29" i="3"/>
  <c r="Y29" i="3" s="1"/>
  <c r="W41" i="3"/>
  <c r="Y41" i="3" s="1"/>
  <c r="U85" i="3"/>
  <c r="V85" i="3" s="1"/>
  <c r="W85" i="3" s="1"/>
  <c r="Y85" i="3" s="1"/>
  <c r="W86" i="3"/>
  <c r="Y86" i="3" s="1"/>
  <c r="BB4" i="1"/>
  <c r="BC4" i="1" s="1"/>
  <c r="BD4" i="1" s="1"/>
  <c r="BL4" i="1" s="1"/>
  <c r="W8" i="3"/>
  <c r="Y8" i="3" s="1"/>
  <c r="W13" i="3"/>
  <c r="Y13" i="3" s="1"/>
  <c r="X453" i="2"/>
  <c r="Y453" i="2" s="1"/>
  <c r="Z453" i="2" s="1"/>
  <c r="AB453" i="2" s="1"/>
  <c r="BB2" i="1"/>
  <c r="BC2" i="1"/>
  <c r="BD2" i="1" s="1"/>
  <c r="BL2" i="1" s="1"/>
  <c r="BC12" i="1"/>
  <c r="BD12" i="1" s="1"/>
  <c r="BL12" i="1" s="1"/>
  <c r="BG14" i="1"/>
  <c r="BH14" i="1" s="1"/>
  <c r="BI14" i="1" s="1"/>
  <c r="BN14" i="1" s="1"/>
  <c r="BB15" i="1"/>
  <c r="BC15" i="1" s="1"/>
  <c r="BD15" i="1" s="1"/>
  <c r="BL15" i="1" s="1"/>
  <c r="BB21" i="1"/>
  <c r="BC21" i="1" s="1"/>
  <c r="BD21" i="1" s="1"/>
  <c r="BL21" i="1" s="1"/>
  <c r="U81" i="3"/>
  <c r="V81" i="3" s="1"/>
  <c r="W81" i="3" s="1"/>
  <c r="Y81" i="3" s="1"/>
  <c r="V89" i="3"/>
  <c r="W89" i="3" s="1"/>
  <c r="Y89" i="3" s="1"/>
  <c r="Y447" i="2"/>
  <c r="Z447" i="2" s="1"/>
  <c r="AB447" i="2" s="1"/>
  <c r="Y451" i="2"/>
  <c r="Z451" i="2" s="1"/>
  <c r="AB451" i="2" s="1"/>
  <c r="Y455" i="2"/>
  <c r="Z455" i="2" s="1"/>
  <c r="AB455" i="2" s="1"/>
  <c r="BC9" i="1"/>
  <c r="BD9" i="1" s="1"/>
  <c r="BL9" i="1" s="1"/>
  <c r="BC17" i="1"/>
  <c r="BD17" i="1" s="1"/>
  <c r="BL17" i="1" s="1"/>
  <c r="W84" i="3"/>
  <c r="Y84" i="3" s="1"/>
  <c r="W82" i="3"/>
  <c r="Y82" i="3" s="1"/>
  <c r="W97" i="3"/>
  <c r="Y97" i="3" s="1"/>
  <c r="L17" i="1"/>
  <c r="W62" i="3"/>
  <c r="Y62" i="3" s="1"/>
  <c r="L12" i="1"/>
  <c r="BC14" i="1"/>
  <c r="BD14" i="1" s="1"/>
  <c r="BL14" i="1" s="1"/>
  <c r="U93" i="3"/>
  <c r="V93" i="3"/>
  <c r="W93" i="3" s="1"/>
  <c r="Y93" i="3" s="1"/>
  <c r="BC13" i="1"/>
  <c r="BD13" i="1" s="1"/>
  <c r="BL13" i="1" s="1"/>
  <c r="BH21" i="1"/>
  <c r="BI21" i="1" s="1"/>
  <c r="BN21" i="1" s="1"/>
  <c r="W79" i="3"/>
  <c r="Y79" i="3" s="1"/>
  <c r="BC18" i="1"/>
  <c r="BD18" i="1" s="1"/>
  <c r="BL18" i="1" s="1"/>
  <c r="L18" i="1"/>
</calcChain>
</file>

<file path=xl/sharedStrings.xml><?xml version="1.0" encoding="utf-8"?>
<sst xmlns="http://schemas.openxmlformats.org/spreadsheetml/2006/main" count="5334" uniqueCount="1230">
  <si>
    <t>HTChem Library</t>
  </si>
  <si>
    <t>Core</t>
  </si>
  <si>
    <t>Compound ID</t>
  </si>
  <si>
    <t>SMILES</t>
  </si>
  <si>
    <t>Crude Batch ID</t>
  </si>
  <si>
    <t>Hit or Chemisimilar</t>
  </si>
  <si>
    <t>PXR DRC Experiment</t>
  </si>
  <si>
    <t>Crude EC50s (µM)</t>
  </si>
  <si>
    <t>Crude pEC50s (log)</t>
  </si>
  <si>
    <t>Crude Emax normalized</t>
  </si>
  <si>
    <t>Crude Emax raw</t>
  </si>
  <si>
    <t>Volatility</t>
  </si>
  <si>
    <t>CAD Yield/Volatility Note</t>
  </si>
  <si>
    <t>Crude EvapT (°C)</t>
  </si>
  <si>
    <t>Crude Theoretical Mass-on-Column (ng)</t>
  </si>
  <si>
    <t>Crude Peak Area (pA*min)</t>
  </si>
  <si>
    <t>Crude Actual Mass-on-Column (ng)</t>
  </si>
  <si>
    <t>Crude Product Yield (%)</t>
  </si>
  <si>
    <t>Crude Correction Factor</t>
  </si>
  <si>
    <t>Corrected Crude EC50 (µM)</t>
  </si>
  <si>
    <t>Corrected Crude pEC50 (log)</t>
  </si>
  <si>
    <t>Crude DRC pEC50 SE (log)</t>
  </si>
  <si>
    <t>Crude CAD Peak Area CV (%)</t>
  </si>
  <si>
    <t>Crude CAD Slope CV (%)</t>
  </si>
  <si>
    <t>Crude CAD Yield SE (log10)</t>
  </si>
  <si>
    <t>Corrected Crude pEC50 ±1 SE (log)</t>
  </si>
  <si>
    <t>Crude pEC50 ±95% CI (log)</t>
  </si>
  <si>
    <t>Corrected Crude pEC50 ±95% CI (log)</t>
  </si>
  <si>
    <t>Library 66534</t>
  </si>
  <si>
    <t>OCNT-2432456</t>
  </si>
  <si>
    <t>OCNT-2434051</t>
  </si>
  <si>
    <t>O=C(Cn1ncc(=O)c2ccccc12)N[C@H]1CCO[C@@H]1c1cncc(-c2ccccc2F)c1</t>
  </si>
  <si>
    <t>ZZ-001</t>
  </si>
  <si>
    <t>Hit</t>
  </si>
  <si>
    <t>OPA_PXR-045</t>
  </si>
  <si>
    <t>Non-volatile</t>
  </si>
  <si>
    <t>OCNT-2435359</t>
  </si>
  <si>
    <t>CCCCCC1CN(C(=O)Cn2ncc(=O)c3ccccc23)C1</t>
  </si>
  <si>
    <t>Chemisimilar</t>
  </si>
  <si>
    <t>OCNT-2434044</t>
  </si>
  <si>
    <t>O=C(Cn1ncc(=O)c2ccccc12)NC(Cc1ccc(F)cc1)C1COc2ccccc2O1</t>
  </si>
  <si>
    <t>OCNT-2435005</t>
  </si>
  <si>
    <t>COc1ccc(C(C)(O)C2CCCN2C(=O)Cn2ncc(=O)c3ccccc23)cc1</t>
  </si>
  <si>
    <t>OCNT-2434406</t>
  </si>
  <si>
    <t>Cc1nc2c(cc(OCCNC(=O)Cn3ncc(=O)c4ccccc34)c3ccsc23)s1</t>
  </si>
  <si>
    <t>OCNT-2435320</t>
  </si>
  <si>
    <t>O=C(Cn1ncc(=O)c2ccccc12)N1CC2(CCC2)C1c1ccncc1</t>
  </si>
  <si>
    <t>OCNT-2434958</t>
  </si>
  <si>
    <t>CCOC(=O)C1CN(C(=O)Cn2ncc(=O)c3ccccc23)CC12CCCCCC2(F)F</t>
  </si>
  <si>
    <t>OCNT-2435004</t>
  </si>
  <si>
    <t>C#CCOC1CCCN(C(=O)Cn2ncc(=O)c3ccccc23)C1</t>
  </si>
  <si>
    <t>OCNT-2435239</t>
  </si>
  <si>
    <t>Cc1nc(-c2ccccc2)sc1C(C)N(C)C(=O)Cn1ncc(=O)c2ccccc12</t>
  </si>
  <si>
    <t>OCNT-2434107</t>
  </si>
  <si>
    <t>Cc1ccc(C(NC(=O)Cn2ncc(=O)c3ccccc23)C2(C)CCCO2)o1</t>
  </si>
  <si>
    <t>Not sufficiently synthesized</t>
  </si>
  <si>
    <t>Below LLOQ</t>
  </si>
  <si>
    <t>OCNT-2434134</t>
  </si>
  <si>
    <t>O=C(Cn1ncc(=O)c2ccccc12)N[C@H](Cc1cc(F)c(F)cc1F)CC(F)(F)F</t>
  </si>
  <si>
    <t>OCNT-2434476</t>
  </si>
  <si>
    <t>O=C(Cn1ncc(=O)c2ccccc12)NCc1ccccc1COc1ccccc1</t>
  </si>
  <si>
    <t>OCNT-2435413</t>
  </si>
  <si>
    <t>COc1ccc(CN(C(=O)Cn2ncc(=O)c3ccccc23)C(C)C2CCC2)c(OC)c1</t>
  </si>
  <si>
    <t>OCNT-2434324</t>
  </si>
  <si>
    <t>C[C@@H](NC(=O)Cn1ncc(=O)c2ccccc12)c1cn2c(Br)cccc2n1</t>
  </si>
  <si>
    <t>OCNT-2434942</t>
  </si>
  <si>
    <t>O=C(Cn1ncc(=O)c2ccccc12)N1CCC(=Cc2cccs2)CC1</t>
  </si>
  <si>
    <t>no data</t>
  </si>
  <si>
    <t>-</t>
  </si>
  <si>
    <t>OCNT-2435457</t>
  </si>
  <si>
    <t>Cc1ccn(C(C)C2CCCN2C(=O)Cn2ncc(=O)c3ccccc23)n1</t>
  </si>
  <si>
    <t>OCNT-2434509</t>
  </si>
  <si>
    <t>Cc1noc(C)c1COc1ccc(CNC(=O)Cn2ncc(=O)c3ccccc23)cc1</t>
  </si>
  <si>
    <t>OCNT-2435337</t>
  </si>
  <si>
    <t>CC1(C)[C@H]2CC[C@]1(C)CN(C(=O)Cn1ncc(=O)c3ccccc13)C2</t>
  </si>
  <si>
    <t>OCNT-2434550</t>
  </si>
  <si>
    <t>CC(NC(=O)Cn1ncc(=O)c2ccccc12)c1noc(Cc2ccccc2)n1</t>
  </si>
  <si>
    <t>OCNT-2435528</t>
  </si>
  <si>
    <t>O=C(CN(Cc1cccnc1)C(=O)Cn1ncc(=O)c2ccccc12)Nc1ccc(Cl)cc1</t>
  </si>
  <si>
    <t>OCNT-2434032</t>
  </si>
  <si>
    <t>N#CC(NC(=O)Cn1ncc(=O)c2ccccc12)c1ccsc1</t>
  </si>
  <si>
    <t>True 0% Yield / No Synthesis</t>
  </si>
  <si>
    <t>Undetected</t>
  </si>
  <si>
    <t>OCNT-2434250</t>
  </si>
  <si>
    <t>O=C(Cn1ncc(=O)c2ccccc12)NC(CN1CCOCC1)C12CC3CC(CC(C3)C1)C2</t>
  </si>
  <si>
    <t>OCNT-2435073</t>
  </si>
  <si>
    <t>O=C(Cn1ncc(=O)c2ccccc12)N1CCSCC1CC(=O)N(Cc1ccsc1)C1CC1</t>
  </si>
  <si>
    <t>OCNT-2435074</t>
  </si>
  <si>
    <t>CCOC(=O)CN(C(=O)Cn1ncc(=O)c2ccccc12)C(C)c1cccc(Br)c1</t>
  </si>
  <si>
    <t>OCNT-2435178</t>
  </si>
  <si>
    <t>NC(=O)c1ccc(CN(C(=O)Cn2ncc(=O)c3ccccc23)C2CC2)c(F)c1</t>
  </si>
  <si>
    <t>OCNT-2434900</t>
  </si>
  <si>
    <t>O=C(Cn1ncc(=O)c2ccccc12)N1C2CCCC1(F)CC2</t>
  </si>
  <si>
    <t>OCNT-2435085</t>
  </si>
  <si>
    <t>O=C(Cn1ncc(=O)c2ccccc12)N1C[C@H]2CC[C@@H]1c1ccccc12</t>
  </si>
  <si>
    <t>OCNT-2434779</t>
  </si>
  <si>
    <t>O=C(Cn1ncc(=O)c2ccccc12)N1CC=C(c2c[nH]c3cc(F)c(F)cc23)CC1</t>
  </si>
  <si>
    <t>OCNT-2435104</t>
  </si>
  <si>
    <t>Cc1cccc(S(=O)(=O)N2C[C@H]3CCN(C(=O)Cn4ncc(=O)c5ccccc45)[C@H]3C2)c1</t>
  </si>
  <si>
    <t>OCNT-2435202</t>
  </si>
  <si>
    <t>COC(=O)c1nc(C2CCCN2C(=O)Cn2ncc(=O)c3ccccc23)sc1C</t>
  </si>
  <si>
    <t>OCNT-2435372</t>
  </si>
  <si>
    <t>CC(Oc1cccc(F)c1F)C(=O)N1CCN(C(=O)Cn2ncc(=O)c3ccccc23)CC1</t>
  </si>
  <si>
    <t>OCNT-2434315</t>
  </si>
  <si>
    <t>COc1ccc2c(c1)C(O)(CNC(=O)Cn1ncc(=O)c3ccccc13)CC2</t>
  </si>
  <si>
    <t>OCNT-2434170</t>
  </si>
  <si>
    <t>O=C(Cn1ncc(=O)c2ccccc12)N[C@@H](Cc1ccccc1)C(=O)NCc1cccs1</t>
  </si>
  <si>
    <t>OCNT-2434195</t>
  </si>
  <si>
    <t>CCC1CC1(NC(=O)Cn1ncc(=O)c2ccccc12)c1cccc(C)c1</t>
  </si>
  <si>
    <t>OCNT-2434950</t>
  </si>
  <si>
    <t>O=C(Cn1ncc(=O)c2ccccc12)N1CC(Oc2ccncc2C(F)(F)F)C1</t>
  </si>
  <si>
    <t>OCNT-2434269</t>
  </si>
  <si>
    <t>O=C(Cn1ncc(=O)c2ccccc12)NCC1CSCCS1</t>
  </si>
  <si>
    <t>OCNT-2434249</t>
  </si>
  <si>
    <t>CCCC(NC(=O)Cn1ncc(=O)c2ccccc12)C(=O)NC1CCSc2ccc(Cl)cc21</t>
  </si>
  <si>
    <t>OCNT-2434382</t>
  </si>
  <si>
    <t>O=C(Cn1ncc(=O)c2ccccc12)NCCCSc1ccc(F)cc1</t>
  </si>
  <si>
    <t>OCNT-2435448</t>
  </si>
  <si>
    <t>CCn1ccc(CN(C)C(=O)Cn2ncc(=O)c3ccccc23)c1</t>
  </si>
  <si>
    <t>OCNT-2434508</t>
  </si>
  <si>
    <t>O=C(Cn1ncc(=O)c2ccccc12)NCc1ccc(N2CCC(O)CC2)c(F)c1</t>
  </si>
  <si>
    <t>OCNT-2435313</t>
  </si>
  <si>
    <t>CC(C)(C)OC(=O)N1CCN(C(=O)Cn2ncc(=O)c3ccccc23)C2CC12</t>
  </si>
  <si>
    <t>OCNT-2435532</t>
  </si>
  <si>
    <t>COC(=O)C1Cc2c(Br)cccc2CN1C(=O)Cn1ncc(=O)c2ccccc12</t>
  </si>
  <si>
    <t>OCNT-2434422</t>
  </si>
  <si>
    <t>Cc1ccc(Br)cc1C1(NC(=O)Cn2ncc(=O)c3ccccc23)CC1</t>
  </si>
  <si>
    <t>OCNT-2434241</t>
  </si>
  <si>
    <t>O=C(Cn1ncc(=O)c2ccccc12)NCC1C=CCCCC1</t>
  </si>
  <si>
    <t>OCNT-2434338</t>
  </si>
  <si>
    <t>O=C(Cn1ncc(=O)c2ccccc12)NCc1ccc2nsnc2c1</t>
  </si>
  <si>
    <t>OCNT-2434869</t>
  </si>
  <si>
    <t>CCc1ncc2c(n1)CC1CCC2N1C(=O)Cn1ncc(=O)c2ccccc12</t>
  </si>
  <si>
    <t>OCNT-2434852</t>
  </si>
  <si>
    <t>CC(C)C1N(C(=O)Cn2ncc(=O)c3ccccc23)CC12CC=CC2</t>
  </si>
  <si>
    <t>OCNT-2434645</t>
  </si>
  <si>
    <t>Cc1cccc(CN2CCOC(CNC(=O)Cn3ncc(=O)c4ccccc34)C2)c1</t>
  </si>
  <si>
    <t>OCNT-2434529</t>
  </si>
  <si>
    <t>CC(NC(=O)Cn1ncc(=O)c2ccccc12)c1ccc(Oc2cccnc2)c(F)c1</t>
  </si>
  <si>
    <t>OCNT-2434423</t>
  </si>
  <si>
    <t>O=C(Cn1ncc(=O)c2ccccc12)NCC1CCCCC1OCC(F)(F)F</t>
  </si>
  <si>
    <t>OCNT-2435480</t>
  </si>
  <si>
    <t>O=C(Cn1ncc(=O)c2ccccc12)N1CC(=O)N2CCc3ccccc3C2C1</t>
  </si>
  <si>
    <t>OCNT-2434525</t>
  </si>
  <si>
    <t>Cn1ncc2cc(CNC(=O)Cn3ncc(=O)c4ccccc34)cnc12</t>
  </si>
  <si>
    <t>OCNT-2434820</t>
  </si>
  <si>
    <t>O=C(Cn1ncc(=O)c2ccccc12)N1CCN(c2cccc3[nH]ncc23)CC1</t>
  </si>
  <si>
    <t>OCNT-2434221</t>
  </si>
  <si>
    <t>Cc1nc(C(NC(=O)Cn2ncc(=O)c3ccccc23)c2ccc(Cl)c(F)c2)no1</t>
  </si>
  <si>
    <t>OCNT-2434881</t>
  </si>
  <si>
    <t>COc1ccccc1-c1csc(C2CCCN(C(=O)Cn3ncc(=O)c4ccccc34)C2)n1</t>
  </si>
  <si>
    <t>OCNT-2434089</t>
  </si>
  <si>
    <t>O=C(Cn1ncc(=O)c2ccccc12)NCCc1c[nH]c2c(F)cc(Cl)cc12</t>
  </si>
  <si>
    <t>OCNT-2434877</t>
  </si>
  <si>
    <t>O=C(Cn1ncc(=O)c2ccccc12)N1CC(O[C@@H]2CCCC[C@H]2O)C1</t>
  </si>
  <si>
    <t>OCNT-2435297</t>
  </si>
  <si>
    <t>COc1cccc(CN(CC(F)F)C(=O)Cn2ncc(=O)c3ccccc23)c1O</t>
  </si>
  <si>
    <t>OCNT-2434322</t>
  </si>
  <si>
    <t>CCC(NC(=O)Cn1ncc(=O)c2ccccc12)C(=O)NC(C)c1cc(C)sc1C</t>
  </si>
  <si>
    <t>OCNT-2434378</t>
  </si>
  <si>
    <t>O=C(Cn1ncc(=O)c2ccccc12)NC1CC(OCc2cc(F)ccc2F)C1</t>
  </si>
  <si>
    <t>OCNT-2434592</t>
  </si>
  <si>
    <t>COc1ccc(CCCNC(=O)Cn2ncc(=O)c3ccccc23)cn1</t>
  </si>
  <si>
    <t>OCNT-2435295</t>
  </si>
  <si>
    <t>O=C(Nc1ccc(Cl)cc1Cl)C1CCCCN1C(=O)Cn1ncc(=O)c2ccccc12</t>
  </si>
  <si>
    <t>OCNT-2434746</t>
  </si>
  <si>
    <t>O=C(Cn1ncc(=O)c2ccccc12)NCc1ccc2occc2c1</t>
  </si>
  <si>
    <t>OCNT-2434116</t>
  </si>
  <si>
    <t>O=C(Cn1ncc(=O)c2ccccc12)NCc1noc2c1CC(F)(F)CC2</t>
  </si>
  <si>
    <t>OCNT-2434979</t>
  </si>
  <si>
    <t>Cc1n[nH]c(C)c1C1CCCCCN1C(=O)Cn1ncc(=O)c2ccccc12</t>
  </si>
  <si>
    <t>OCNT-2435250</t>
  </si>
  <si>
    <t>O=C(Cn1ncc(=O)c2ccccc12)N1CCCC1c1nc(Cc2ccc(F)cc2)no1</t>
  </si>
  <si>
    <t>OCNT-2434230</t>
  </si>
  <si>
    <t>O=C(Cn1ncc(=O)c2ccccc12)NCCCCC(F)(F)F</t>
  </si>
  <si>
    <t>OCNT-2435234</t>
  </si>
  <si>
    <t>CCC(C)N(CC(O)COc1cccc(Cl)c1)C(=O)Cn1ncc(=O)c2ccccc12</t>
  </si>
  <si>
    <t>OCNT-2434701</t>
  </si>
  <si>
    <t>CN1CCN(CCCNC(=O)Cn2ncc(=O)c3ccccc23)C(c2ccccc2)C1</t>
  </si>
  <si>
    <t>OCNT-2434385</t>
  </si>
  <si>
    <t>O=C(Cn1ncc(=O)c2ccccc12)NCC(O)COc1ccc(I)cc1</t>
  </si>
  <si>
    <t>OCNT-2434377</t>
  </si>
  <si>
    <t>CC(NC(=O)Cn1ncc(=O)c2ccccc12)c1cccc(NC(=O)c2ccccc2)c1</t>
  </si>
  <si>
    <t>OCNT-2435527</t>
  </si>
  <si>
    <t>O=C(Cn1ncc(=O)c2ccccc12)N1CCCC(c2cccc3[nH]ccc23)C1</t>
  </si>
  <si>
    <t>OCNT-2434984</t>
  </si>
  <si>
    <t>CN(Cc1ccc(Cn2cncn2)cc1)C(=O)Cn1ncc(=O)c2ccccc12</t>
  </si>
  <si>
    <t>OCNT-2434369</t>
  </si>
  <si>
    <t>COCC(NC(=O)Cn1ncc(=O)c2ccccc12)c1cc2ccccc2s1</t>
  </si>
  <si>
    <t>OCNT-2434165</t>
  </si>
  <si>
    <t>CC1(C)CCC2(CCC(CNC(=O)Cn3ncc(=O)c4ccccc34)O2)CC1</t>
  </si>
  <si>
    <t>OCNT-2434847</t>
  </si>
  <si>
    <t>Cc1cc(C)cc(OCC(=O)N2CCN(C(=O)Cn3ncc(=O)c4ccccc34)[C@H](C)C2)c1</t>
  </si>
  <si>
    <t>OCNT-2435194</t>
  </si>
  <si>
    <t>CCCN(CC(=O)Nc1cc(Cl)ccc1Cl)C(=O)Cn1ncc(=O)c2ccccc12</t>
  </si>
  <si>
    <t>OCNT-2434291</t>
  </si>
  <si>
    <t>CC(C)CC(C)(CNC(=O)Cn1ncc(=O)c2ccccc12)NC(=O)c1cc(Cl)c(Cl)[nH]1</t>
  </si>
  <si>
    <t>OCNT-2435020</t>
  </si>
  <si>
    <t>Cc1cc(=O)oc2cc(OCC3CCN(C(=O)Cn4ncc(=O)c5ccccc45)CC3)ccc12</t>
  </si>
  <si>
    <t>OCNT-2434739</t>
  </si>
  <si>
    <t>O=C(Cn1ncc(=O)c2ccccc12)NCC1C2(CC2)C12CC2</t>
  </si>
  <si>
    <t>OCNT-2434412</t>
  </si>
  <si>
    <t>CN(C)S(=O)(=O)c1cccc(F)c1CNC(=O)Cn1ncc(=O)c2ccccc12</t>
  </si>
  <si>
    <t>OCNT-2435348</t>
  </si>
  <si>
    <t>COC(=O)c1ccc2[nH]cc(C3CCN(C(=O)Cn4ncc(=O)c5ccccc45)CC3)c2c1</t>
  </si>
  <si>
    <t>OCNT-2435284</t>
  </si>
  <si>
    <t>COC(=O)CC1CCC2CN(C(=O)Cn3ncc(=O)c4ccccc34)CCC2C1</t>
  </si>
  <si>
    <t>OCNT-2435248</t>
  </si>
  <si>
    <t>O=C(Cn1ncc(=O)c2ccccc12)N1CCC(Sc2ccccn2)CC1</t>
  </si>
  <si>
    <t>OCNT-2434255</t>
  </si>
  <si>
    <t>CC1CCC(NC(=O)Cn2ncc(=O)c3ccccc23)C(N2CCc3ccccc3C2)C1</t>
  </si>
  <si>
    <t>OCNT-2434187</t>
  </si>
  <si>
    <t>O=C(Cn1ncc(=O)c2ccccc12)NCc1cnnn1-c1ccccc1</t>
  </si>
  <si>
    <t>OCNT-2434030</t>
  </si>
  <si>
    <t>[N-]=[N+]=NC1CC2CCC1(NC(=O)Cn1ncc(=O)c3ccccc13)C2</t>
  </si>
  <si>
    <t>OCNT-2434540</t>
  </si>
  <si>
    <t>CC[C@H](NC(=O)Cn1ncc(=O)c2ccccc12)c1cc(OC)c(OC)cc1Br</t>
  </si>
  <si>
    <t>OCNT-2434263</t>
  </si>
  <si>
    <t>COc1cc(OC)c2cc(CCCNC(=O)Cn3ncc(=O)c4ccccc34)[nH]c2c1</t>
  </si>
  <si>
    <t>OCNT-2435421</t>
  </si>
  <si>
    <t>O=C(Cn1ncc(=O)c2ccccc12)N1CCC[C@@H]2O[C@H](c3ccccc3)C[C@H]12</t>
  </si>
  <si>
    <t>OCNT-2435453</t>
  </si>
  <si>
    <t>Cc1cccc(CN(Cc2cccc(C)n2)C(=O)Cn2ncc(=O)c3ccccc23)n1</t>
  </si>
  <si>
    <t>OCNT-2434136</t>
  </si>
  <si>
    <t>Cc1sc(C(C)NC(=O)Cn2ncc(=O)c3ccccc23)nc1-c1ccco1</t>
  </si>
  <si>
    <t>OCNT-2434931</t>
  </si>
  <si>
    <t>O=C(Cn1ncc(=O)c2ccccc12)N1CCc2nc[nH]c2C1c1ccccn1</t>
  </si>
  <si>
    <t>OCNT-2435105</t>
  </si>
  <si>
    <t>Cn1cc(C2CC(C(=O)OC(C)(C)C)CN(C(=O)Cn3ncc(=O)c4ccccc34)C2)cn1</t>
  </si>
  <si>
    <t>OCNT-2434913</t>
  </si>
  <si>
    <t>O=C(Cn1ncc(=O)c2ccccc12)N1CCC(Oc2ccc(Cl)cc2)CC1</t>
  </si>
  <si>
    <t>OCNT-2434641</t>
  </si>
  <si>
    <t>CC(NC(=O)Cn1ncc(=O)c2ccccc12)C(=O)N1c2ccccc2CC1C</t>
  </si>
  <si>
    <t>OCNT-2435466</t>
  </si>
  <si>
    <t>C#CCC(Cc1ccccc1)N(C)C(=O)Cn1ncc(=O)c2ccccc12</t>
  </si>
  <si>
    <t>OCNT-2435139</t>
  </si>
  <si>
    <t>CCn1nccc1CN(Cc1ccccc1)C(=O)Cn1ncc(=O)c2ccccc12</t>
  </si>
  <si>
    <t>OCNT-2435182</t>
  </si>
  <si>
    <t>CC[C@@H](CO)N(C(=O)Cn1ncc(=O)c2ccccc12)C1CCc2ccccc2C1</t>
  </si>
  <si>
    <t>OCNT-2434117</t>
  </si>
  <si>
    <t>O=C(Cn1ncc(=O)c2ccccc12)NC1(CNS(=O)(=O)c2cccs2)CCCCC1</t>
  </si>
  <si>
    <t>OCNT-2434815</t>
  </si>
  <si>
    <t>CC1=CC2CCCC(C1)N2C(=O)Cn1ncc(=O)c2ccccc12</t>
  </si>
  <si>
    <t>OCNT-2434689</t>
  </si>
  <si>
    <t>COc1cc(C)cc(CNC(=O)Cn2ncc(=O)c3ccccc23)c1</t>
  </si>
  <si>
    <t>OCNT-2434058</t>
  </si>
  <si>
    <t>CC1(C)Oc2ccsc2[C@H](NC(=O)Cn2ncc(=O)c3ccccc23)[C@H]1O</t>
  </si>
  <si>
    <t>Semi-volatile</t>
  </si>
  <si>
    <t>OCNT-2434514</t>
  </si>
  <si>
    <t>O=C(Cn1ncc(=O)c2ccccc12)NCC(c1cccc(Cl)c1)N1CCCC1</t>
  </si>
  <si>
    <t>OCNT-2435117</t>
  </si>
  <si>
    <t>O=C(Cn1ncc(=O)c2ccccc12)N(CCn1ccc2cc(Cl)ccc12)C1CCOCC1</t>
  </si>
  <si>
    <t>OCNT-2434706</t>
  </si>
  <si>
    <t>O=C(Cn1ncc(=O)c2ccccc12)NCC=CC1CC1</t>
  </si>
  <si>
    <t>OCNT-2435008</t>
  </si>
  <si>
    <t>CCn1c2ccccc2c2cc(CN(CCCO)C(=O)Cn3ncc(=O)c4ccccc34)ccc12</t>
  </si>
  <si>
    <t>OCNT-2434481</t>
  </si>
  <si>
    <t>CC(C)CC(NC(=O)Cn1ncc(=O)c2ccccc12)C(=O)N(C)C1CCSC1</t>
  </si>
  <si>
    <t>OCNT-2435127</t>
  </si>
  <si>
    <t>Cc1ccc(C)c(C(O)CN(C(=O)Cn2ncc(=O)c3ccccc23)C(C)C)c1</t>
  </si>
  <si>
    <t>OCNT-2434438</t>
  </si>
  <si>
    <t>CC(C)CC(NC(=O)Cn1ncc(=O)c2ccccc12)c1cccc(C#N)c1</t>
  </si>
  <si>
    <t>OCNT-2434285</t>
  </si>
  <si>
    <t>Cc1cc(CNC(=O)Cn2ncc(=O)c3ccccc23)c2[nH]c(C)c(C)c2c1</t>
  </si>
  <si>
    <t>OCNT-2434543</t>
  </si>
  <si>
    <t>Cc1cc(Br)c2nc(CNC(=O)Cn3ncc(=O)c4ccccc34)ccc2c1</t>
  </si>
  <si>
    <t>OCNT-2434751</t>
  </si>
  <si>
    <t>O=C(Cn1ncc(=O)c2ccccc12)NC1(C23CC4CC(CC(C4)C2)C3)CC1</t>
  </si>
  <si>
    <t>OCNT-2434519</t>
  </si>
  <si>
    <t>CC(C)C(NC(=O)Cn1ncc(=O)c2ccccc12)c1ccc2[nH]c(=O)oc2c1</t>
  </si>
  <si>
    <t>OCNT-2435409</t>
  </si>
  <si>
    <t>Cc1ccccc1C(CO)N(C)C(=O)Cn1ncc(=O)c2ccccc12</t>
  </si>
  <si>
    <t>OCNT-2435390</t>
  </si>
  <si>
    <t>CCC1CN(C)c2ccccc2CN1C(=O)Cn1ncc(=O)c2ccccc12</t>
  </si>
  <si>
    <t>OCNT-2435450</t>
  </si>
  <si>
    <t>CC(C)(C)OC(=O)N1CCCC(N(Cc2ccccc2)C(=O)Cn2ncc(=O)c3ccccc23)C1</t>
  </si>
  <si>
    <t>OCNT-2434060</t>
  </si>
  <si>
    <t>CCC(NC(=O)Cn1ncc(=O)c2ccccc12)c1cccc2cc[nH]c12</t>
  </si>
  <si>
    <t>OCNT-2434707</t>
  </si>
  <si>
    <t>O=C(Cn1ncc(=O)c2ccccc12)NC(CC1CC1)c1ccc(Cl)cn1</t>
  </si>
  <si>
    <t>OCNT-2435521</t>
  </si>
  <si>
    <t>CCN(C(=O)Cn1ncc(=O)c2ccccc12)C1CCN(C(C)c2ccccc2)C1</t>
  </si>
  <si>
    <t>OCNT-2435332</t>
  </si>
  <si>
    <t>O=C(Cn1ncc(=O)c2ccccc12)N(Cc1ccccc1C(F)(F)F)C1COC1</t>
  </si>
  <si>
    <t>OCNT-2435258</t>
  </si>
  <si>
    <t>COCc1ccc2c(c1)CCN(C(=O)Cn1ncc(=O)c3ccccc13)C2</t>
  </si>
  <si>
    <t>OCNT-2434027</t>
  </si>
  <si>
    <t>O=C(Cn1ncc(=O)c2ccccc12)NC1(c2nc3cc(Cl)ccc3o2)CCC1</t>
  </si>
  <si>
    <t>OCNT-2434206</t>
  </si>
  <si>
    <t>O=C(Cn1ncc(=O)c2ccccc12)NCc1oc2ccc(F)cc2c1-c1ccccc1</t>
  </si>
  <si>
    <t>OCNT-2434079</t>
  </si>
  <si>
    <t>CC1CN(C(CNC(=O)Cn2ncc(=O)c3ccccc23)c2cccs2)CCO1</t>
  </si>
  <si>
    <t>OCNT-2434376</t>
  </si>
  <si>
    <t>CC(NC(=O)Cn1ncc(=O)c2ccccc12)C1OCCc2sccc21</t>
  </si>
  <si>
    <t>OCNT-2434653</t>
  </si>
  <si>
    <t>COc1cccc2c1OCC(NC(=O)Cn1ncc(=O)c3ccccc13)C2</t>
  </si>
  <si>
    <t>OCNT-2435477</t>
  </si>
  <si>
    <t>COc1ccccc1C1CSCCCN1C(=O)Cn1ncc(=O)c2ccccc12</t>
  </si>
  <si>
    <t>OCNT-2434441</t>
  </si>
  <si>
    <t>Cc1sc2ccccc2c1CCNC(=O)Cn1ncc(=O)c2ccccc12</t>
  </si>
  <si>
    <t>OCNT-2434014</t>
  </si>
  <si>
    <t>O=C(Cn1ncc(=O)c2ccccc12)NCc1cnc(-n2cccn2)s1</t>
  </si>
  <si>
    <t>OCNT-2434156</t>
  </si>
  <si>
    <t>CCOc1ccc2c(c1)C(NC(=O)Cn1ncc(=O)c3ccccc13)CCO2</t>
  </si>
  <si>
    <t>OCNT-2434631</t>
  </si>
  <si>
    <t>O=C(Cn1ncc(=O)c2ccccc12)NCCc1cccc2cnccc12</t>
  </si>
  <si>
    <t>OCNT-2434469</t>
  </si>
  <si>
    <t>O=C(Cn1ncc(=O)c2ccccc12)NC[C@@H]1Cc2ccccc2CO1</t>
  </si>
  <si>
    <t>OCNT-2435325</t>
  </si>
  <si>
    <t>CC(C)(C)C1c2ccc(O)cc2CCN1C(=O)Cn1ncc(=O)c2ccccc12</t>
  </si>
  <si>
    <t>OCNT-2434019</t>
  </si>
  <si>
    <t>O=C(Cn1ncc(=O)c2ccccc12)NCC1(c2cc(F)cc(Br)c2)CC1</t>
  </si>
  <si>
    <t>OCNT-2434408</t>
  </si>
  <si>
    <t>O=C(Cn1ncc(=O)c2ccccc12)NCCC1CSc2ccccc2O1</t>
  </si>
  <si>
    <t>OCNT-2434664</t>
  </si>
  <si>
    <t>CC1(c2cccs2)CC1CNC(=O)Cn1ncc(=O)c2ccccc12</t>
  </si>
  <si>
    <t>OCNT-2434891</t>
  </si>
  <si>
    <t>O=C(Cn1ncc(=O)c2ccccc12)N1CCCC2(C1)OC[C@H]1C[C@@H]21</t>
  </si>
  <si>
    <t>OCNT-2434912</t>
  </si>
  <si>
    <t>CC(C)(C)OC(=O)CN(CCC(F)(F)F)C(=O)Cn1ncc(=O)c2ccccc12</t>
  </si>
  <si>
    <t>OCNT-2434216</t>
  </si>
  <si>
    <t>O=C(Cn1ncc(=O)c2ccccc12)NCC1=CS(=O)(=O)c2ccccc21</t>
  </si>
  <si>
    <t>OCNT-2435184</t>
  </si>
  <si>
    <t>CC1CSc2ccccc2CN1C(=O)Cn1ncc(=O)c2ccccc12</t>
  </si>
  <si>
    <t>OCNT-2434855</t>
  </si>
  <si>
    <t>O=C(Cn1ncc(=O)c2ccccc12)N1CCP(=O)(c2ccccc2)CC1</t>
  </si>
  <si>
    <t>OCNT-2434124</t>
  </si>
  <si>
    <t>O=C(Cn1ncc(=O)c2ccccc12)NCc1cc(Oc2ccc(F)c(F)c2)ccn1</t>
  </si>
  <si>
    <t>OCNT-2435303</t>
  </si>
  <si>
    <t>Cn1cc(C2CCN(C(=O)Cn3ncc(=O)c4ccccc34)C2)c2ccccc12</t>
  </si>
  <si>
    <t>OCNT-2435447</t>
  </si>
  <si>
    <t>O=C(Cn1ncc(=O)c2ccccc12)N1CC(NS(=O)(=O)c2ccccc2)C1</t>
  </si>
  <si>
    <t>OCNT-2434155</t>
  </si>
  <si>
    <t>O=C(Cn1ncc(=O)c2ccccc12)NCCc1cccc2c1OC(F)(F)O2</t>
  </si>
  <si>
    <t>OCNT-2434151</t>
  </si>
  <si>
    <t>CCC1=NN(Cc2ccccc2C)C(=O)C1CCNC(=O)Cn1ncc(=O)c2ccccc12</t>
  </si>
  <si>
    <t>OCNT-2434654</t>
  </si>
  <si>
    <t>O=C(Cn1ncc(=O)c2ccccc12)NC(c1ccccc1)C1CC1c1ccncc1</t>
  </si>
  <si>
    <t>OCNT-2434258</t>
  </si>
  <si>
    <t>O=C(Cn1ncc(=O)c2ccccc12)NC1(c2c(F)cccc2F)COC1</t>
  </si>
  <si>
    <t>OCNT-2434114</t>
  </si>
  <si>
    <t>Cc1ccc(C(NC(=O)Cn2ncc(=O)c3ccccc23)c2cccc(S(C)(=O)=O)c2)c(C)c1</t>
  </si>
  <si>
    <t>OCNT-2434614</t>
  </si>
  <si>
    <t>Cc1cccc(C2(CNC(=O)Cn3ncc(=O)c4ccccc34)CC2)c1C</t>
  </si>
  <si>
    <t>OCNT-2434888</t>
  </si>
  <si>
    <t>O=C(Cn1ncc(=O)c2ccccc12)N1CCCC1CC1(C(F)(F)F)N=N1</t>
  </si>
  <si>
    <t>OCNT-2434844</t>
  </si>
  <si>
    <t>COC(=O)c1cc(Br)c2c(c1)CN(C(=O)Cn1ncc(=O)c3ccccc13)CCO2</t>
  </si>
  <si>
    <t>OCNT-2434727</t>
  </si>
  <si>
    <t>O=C(Cn1ncc(=O)c2ccccc12)NCC(F)(F)c1ccc(F)cc1F</t>
  </si>
  <si>
    <t>OCNT-2434399</t>
  </si>
  <si>
    <t>Cc1ccc(CNC(=O)Cn2ncc(=O)c3ccccc23)c(OCC2CCOC2)c1</t>
  </si>
  <si>
    <t>OCNT-2434217</t>
  </si>
  <si>
    <t>O=C(Cn1ncc(=O)c2ccccc12)NC(CN1CCCC1=O)c1cccc(C(F)(F)F)c1</t>
  </si>
  <si>
    <t>OCNT-2434025</t>
  </si>
  <si>
    <t>O=C(Cn1ncc(=O)c2ccccc12)NC1Cc2[nH]ncc2C(C(F)(F)F)C1</t>
  </si>
  <si>
    <t>OCNT-2434417</t>
  </si>
  <si>
    <t>O=C(Cn1ncc(=O)c2ccccc12)NCCCC1CCCC1O</t>
  </si>
  <si>
    <t>OCNT-2435479</t>
  </si>
  <si>
    <t>Cc1cc(Br)cn2c3c(nc12)CCN(C(=O)Cn1ncc(=O)c2ccccc12)C3</t>
  </si>
  <si>
    <t>OCNT-2434466</t>
  </si>
  <si>
    <t>CC(NC(=O)Cn1ncc(=O)c2ccccc12)c1ncc(-c2ccc(F)cc2)o1</t>
  </si>
  <si>
    <t>OCNT-2434511</t>
  </si>
  <si>
    <t>O=C(Cn1ncc(=O)c2ccccc12)NCC(c1ccccc1)S(=O)(=O)c1ccccc1</t>
  </si>
  <si>
    <t>OCNT-2434618</t>
  </si>
  <si>
    <t>CC(C)[C@@]12CC[C@H](NC(=O)Cn3ncc(=O)c4ccccc34)[C@@H]1C2</t>
  </si>
  <si>
    <t>OCNT-2434669</t>
  </si>
  <si>
    <t>CC(NC(=O)Cn1ncc(=O)c2ccccc12)c1nc2ccccc2n1C(F)F</t>
  </si>
  <si>
    <t>OCNT-2434431</t>
  </si>
  <si>
    <t>COCCC1CC(NC(=O)Cn2ncc(=O)c3ccccc23)C1</t>
  </si>
  <si>
    <t>OCNT-2434486</t>
  </si>
  <si>
    <t>O=C(Cn1ncc(=O)c2ccccc12)NCC(NC(=O)C1CC1)C(F)(F)F</t>
  </si>
  <si>
    <t>OCNT-2434884</t>
  </si>
  <si>
    <t>Cc1ccc(C)c(C2CN(C(=O)Cn3ncc(=O)c4ccccc34)C(C)CO2)c1</t>
  </si>
  <si>
    <t>OCNT-2435199</t>
  </si>
  <si>
    <t>CN(C(=O)Cn1ncc(=O)c2ccccc12)C1c2ccccc2-c2ccccc21</t>
  </si>
  <si>
    <t>OCNT-2435203</t>
  </si>
  <si>
    <t>O=C(Cn1ncc(=O)c2ccccc12)N1CC(F)(F)CC2(CCC2)C1</t>
  </si>
  <si>
    <t>OCNT-2434527</t>
  </si>
  <si>
    <t>O=C(Cn1ncc(=O)c2ccccc12)NC1(Cc2cccc(Br)c2)CCOC1</t>
  </si>
  <si>
    <t>OCNT-2435496</t>
  </si>
  <si>
    <t>CN(CCCN(C)C(=O)Cn1ncc(=O)c2ccccc12)Cc1ccncc1</t>
  </si>
  <si>
    <t>OCNT-2434671</t>
  </si>
  <si>
    <t>O=C(Cn1ncc(=O)c2ccccc12)NCc1c(Cl)cccc1-n1ccnc1</t>
  </si>
  <si>
    <t>OCNT-2434403</t>
  </si>
  <si>
    <t>CC(C)Oc1ccc2[nH]cc(CNC(=O)Cn3ncc(=O)c4ccccc34)c2c1</t>
  </si>
  <si>
    <t>OCNT-2434579</t>
  </si>
  <si>
    <t>COc1cccc(C(NC(=O)Cn2ncc(=O)c3ccccc23)C2CC2)n1</t>
  </si>
  <si>
    <t>OCNT-2435151</t>
  </si>
  <si>
    <t>Cc1cc2c(cc1C)C(N(C(=O)Cn1ncc(=O)c3ccccc13)C1CC1)CCO2</t>
  </si>
  <si>
    <t>OCNT-2434340</t>
  </si>
  <si>
    <t>CC1(C)CN(C2(CNC(=O)Cn3ncc(=O)c4ccccc34)CCCCC2)CCO1</t>
  </si>
  <si>
    <t>OCNT-2434710</t>
  </si>
  <si>
    <t>Cc1nn(C)c(C)c1C(NC(=O)Cn1ncc(=O)c2ccccc12)C(F)(F)F</t>
  </si>
  <si>
    <t>OCNT-2434596</t>
  </si>
  <si>
    <t>CC(C)Cn1ccc(CNC(=O)Cn2ncc(=O)c3ccccc23)n1</t>
  </si>
  <si>
    <t>OCNT-2434366</t>
  </si>
  <si>
    <t>O=C(Cn1ncc(=O)c2ccccc12)NC1CCN(c2ccc(C(F)(F)F)cn2)CC1</t>
  </si>
  <si>
    <t>OCNT-2434512</t>
  </si>
  <si>
    <t>O=C(Cn1ncc(=O)c2ccccc12)NCCOC1CCSCC1</t>
  </si>
  <si>
    <t>OCNT-2434026</t>
  </si>
  <si>
    <t>C[C@@]1(NC(=O)Cn2ncc(=O)c3ccccc23)CN(Cc2ccccc2)C[C@H]1c1ccccc1</t>
  </si>
  <si>
    <t>OCNT-2435422</t>
  </si>
  <si>
    <t>COc1c(F)cccc1CC1CCCN1C(=O)Cn1ncc(=O)c2ccccc12</t>
  </si>
  <si>
    <t>OCNT-2434088</t>
  </si>
  <si>
    <t>CC1=C(CNC(=O)Cn2ncc(=O)c3ccccc23)SCCO1</t>
  </si>
  <si>
    <t>OCNT-2434623</t>
  </si>
  <si>
    <t>Cc1cc2ccc(CNC(=O)Cn3ncc(=O)c4ccccc34)cc2[nH]1</t>
  </si>
  <si>
    <t>OCNT-2434284</t>
  </si>
  <si>
    <t>O=C(Cn1ncc(=O)c2ccccc12)NC1CCCc2c1cnn2C1CCCC1</t>
  </si>
  <si>
    <t>OCNT-2434483</t>
  </si>
  <si>
    <t>O=C(Cn1ncc(=O)c2ccccc12)NCCc1nc(C2CC2)no1</t>
  </si>
  <si>
    <t>OCNT-2434994</t>
  </si>
  <si>
    <t>CC(C)(C)[C@@H]1C[C@H](CO)CN(C(=O)Cn2ncc(=O)c3ccccc23)C1</t>
  </si>
  <si>
    <t>OCNT-2434790</t>
  </si>
  <si>
    <t>CC1(C)C2CCC13CCN(C(=O)Cn1ncc(=O)c4ccccc14)C3C2</t>
  </si>
  <si>
    <t>OCNT-2434148</t>
  </si>
  <si>
    <t>CCC1Oc2cc(C(C)NC(=O)Cn3ncc(=O)c4ccccc34)ccc2NC1=O</t>
  </si>
  <si>
    <t>OCNT-2434583</t>
  </si>
  <si>
    <t>O=C(Cn1ncc(=O)c2ccccc12)NC(c1cnn(-c2ccccc2)c1)C1CCOCC1</t>
  </si>
  <si>
    <t>OCNT-2434207</t>
  </si>
  <si>
    <t>C=CCN(CC=C)C(CNC(=O)Cn1ncc(=O)c2ccccc12)C(C)C</t>
  </si>
  <si>
    <t>OCNT-2434813</t>
  </si>
  <si>
    <t>O=C(Cn1ncc(=O)c2ccccc12)N1CCCC1c1cccc(I)c1</t>
  </si>
  <si>
    <t>OCNT-2434064</t>
  </si>
  <si>
    <t>O=C(Cn1ncc(=O)c2ccccc12)NCc1c(-c2ccc(F)cc2)nc2ccc(F)cn12</t>
  </si>
  <si>
    <t>OCNT-2434868</t>
  </si>
  <si>
    <t>CC(C)C(C)N(C(=O)Cn1ncc(=O)c2ccccc12)C1CC1</t>
  </si>
  <si>
    <t>OCNT-2435123</t>
  </si>
  <si>
    <t>CN(Cc1ccc2c(c1)OC(F)(F)O2)C(=O)Cn1ncc(=O)c2ccccc12</t>
  </si>
  <si>
    <t>OCNT-2434570</t>
  </si>
  <si>
    <t>CC12CCCC(CNC(=O)Cn3ncc(=O)c4ccccc34)(CO1)C2</t>
  </si>
  <si>
    <t>OCNT-2434433</t>
  </si>
  <si>
    <t>Cc1cc(C(F)F)nc(C2(NC(=O)Cn3ncc(=O)c4ccccc34)CCCC2)n1</t>
  </si>
  <si>
    <t>OCNT-2434802</t>
  </si>
  <si>
    <t>Cc1ncc2c(n1)C1CCCCC1N(C(=O)Cn1ncc(=O)c3ccccc13)C2</t>
  </si>
  <si>
    <t>OCNT-2434400</t>
  </si>
  <si>
    <t>CC(C)(C)OC1CC(NC(=O)Cn2ncc(=O)c3ccccc23)C1n1cccn1</t>
  </si>
  <si>
    <t>OCNT-2435102</t>
  </si>
  <si>
    <t>Cc1ccc2oc(CN(Cc3ccco3)C(=O)Cn3ncc(=O)c4ccccc34)cc2c1</t>
  </si>
  <si>
    <t>OCNT-2434373</t>
  </si>
  <si>
    <t>O=C(Cn1ncc(=O)c2ccccc12)NCc1nccc(C(F)(F)F)n1</t>
  </si>
  <si>
    <t>OCNT-2434350</t>
  </si>
  <si>
    <t>CC(Cn1nc(C(F)(F)F)cc1C1CC1)NC(=O)Cn1ncc(=O)c2ccccc12</t>
  </si>
  <si>
    <t>OCNT-2434589</t>
  </si>
  <si>
    <t>COC1CC(CNC(=O)Cn2ncc(=O)c3ccccc23)C1(C)C</t>
  </si>
  <si>
    <t>OCNT-2434034</t>
  </si>
  <si>
    <t>CC(C)(NC(=O)Cn1ncc(=O)c2ccccc12)c1ccc(-c2ccno2)cc1</t>
  </si>
  <si>
    <t>OCNT-2434719</t>
  </si>
  <si>
    <t>Cc1c(C(NC(=O)Cn2ncc(=O)c3ccccc23)C(C)C)oc2ccccc12</t>
  </si>
  <si>
    <t>OCNT-2434848</t>
  </si>
  <si>
    <t>O=C(Cn1ncc(=O)c2ccccc12)N1CCC([C@@H]2OCC[C@H]2NC(=O)C(F)(F)F)CC1</t>
  </si>
  <si>
    <t>OCNT-2435331</t>
  </si>
  <si>
    <t>CC(C)(C)OC(=O)[C@]12COc3ccccc3[C@H]1CN(C(=O)Cn1ncc(=O)c3ccccc13)C2</t>
  </si>
  <si>
    <t>OCNT-2434980</t>
  </si>
  <si>
    <t>CCC(CO)N(Cc1ccc(Cl)cc1Cl)C(=O)Cn1ncc(=O)c2ccccc12</t>
  </si>
  <si>
    <t>OCNT-2434021</t>
  </si>
  <si>
    <t>O=C(Cn1ncc(=O)c2ccccc12)NC1CCCCC1NC(=O)C1CC2CCC1C2</t>
  </si>
  <si>
    <t>OCNT-2434235</t>
  </si>
  <si>
    <t>CN1C(=O)C[C@H](NC(=O)Cn2ncc(=O)c3ccccc23)[C@H]1c1ccc(Cl)c(Cl)c1</t>
  </si>
  <si>
    <t>OCNT-2434130</t>
  </si>
  <si>
    <t>O=C(Cn1ncc(=O)c2ccccc12)NCc1ccc(C#CC2CC2)cc1</t>
  </si>
  <si>
    <t>OCNT-2434666</t>
  </si>
  <si>
    <t>O=C(Cn1ncc(=O)c2ccccc12)NC(c1ccc(F)cc1)c1cccs1</t>
  </si>
  <si>
    <t>OCNT-2434655</t>
  </si>
  <si>
    <t>O=C(Cn1ncc(=O)c2ccccc12)NC1CC2(CC3CCC2C3)C1</t>
  </si>
  <si>
    <t>OCNT-2434465</t>
  </si>
  <si>
    <t>O=C(Cn1ncc(=O)c2ccccc12)NC1CCS(=O)(=O)c2ccc(Cl)cc21</t>
  </si>
  <si>
    <t>OCNT-2434139</t>
  </si>
  <si>
    <t>O=C(Cn1ncc(=O)c2ccccc12)NC1CCCc2c1[nH]c1ccc(Cl)cc21</t>
  </si>
  <si>
    <t>OCNT-2434741</t>
  </si>
  <si>
    <t>CC(C)(NC(=O)Cn1ncc(=O)c2ccccc12)c1ccc2c(c1)OCO2</t>
  </si>
  <si>
    <t>OCNT-2434119</t>
  </si>
  <si>
    <t>O=C(Cn1ncc(=O)c2ccccc12)NC(c1cncc(Br)c1)C1CC1</t>
  </si>
  <si>
    <t>OCNT-2434445</t>
  </si>
  <si>
    <t>O=C(Cn1ncc(=O)c2ccccc12)NCCc1ccc2[nH]ncc2c1</t>
  </si>
  <si>
    <t>OCNT-2434012</t>
  </si>
  <si>
    <t>COc1cc(C)cc2c(C)c(C(C)NC(=O)Cn3ncc(=O)c4ccccc34)oc12</t>
  </si>
  <si>
    <t>OCNT-2434610</t>
  </si>
  <si>
    <t>O=C(Cn1ncc(=O)c2ccccc12)NCC1(c2ccc([N+](=O)[O-])cc2)CCCCC1</t>
  </si>
  <si>
    <t>OCNT-2435345</t>
  </si>
  <si>
    <t>O=C(Cn1ncc(=O)c2ccccc12)N1CCCCCC1CC(O)c1cccs1</t>
  </si>
  <si>
    <t>OCNT-2434951</t>
  </si>
  <si>
    <t>N#Cc1cccc2c1CN(C(=O)Cn1ncc(=O)c3ccccc13)C2</t>
  </si>
  <si>
    <t>OCNT-2434573</t>
  </si>
  <si>
    <t>O=C(Cn1ncc(=O)c2ccccc12)NC1(c2cccc(OC(F)(F)F)c2)CCOCC1</t>
  </si>
  <si>
    <t>OCNT-2434524</t>
  </si>
  <si>
    <t>Cc1cc2c(o1)CC(C)(C)CC2NC(=O)Cn1ncc(=O)c2ccccc12</t>
  </si>
  <si>
    <t>OCNT-2435399</t>
  </si>
  <si>
    <t>CC1(C)CN(C(=O)Cn2ncc(=O)c3ccccc23)CCN1CC(F)(F)F</t>
  </si>
  <si>
    <t>OCNT-2435268</t>
  </si>
  <si>
    <t>CCN(CC)C(=O)C1(CC)CCCN(C(=O)Cn2ncc(=O)c3ccccc23)C1</t>
  </si>
  <si>
    <t>OCNT-2435140</t>
  </si>
  <si>
    <t>Cc1ccc(CN(CC2CC2)C(=O)Cn2ncc(=O)c3ccccc23)cn1</t>
  </si>
  <si>
    <t>OCNT-2435525</t>
  </si>
  <si>
    <t>O=C(Cn1ncc(=O)c2ccccc12)N(Cc1cc(C2CC2)on1)C1CC1</t>
  </si>
  <si>
    <t>OCNT-2434637</t>
  </si>
  <si>
    <t>O=C(Cn1ncc(=O)c2ccccc12)NCC1=CCCOC1</t>
  </si>
  <si>
    <t>Library 66535</t>
  </si>
  <si>
    <t>OCNT-0002416</t>
  </si>
  <si>
    <t>OCNT-2433412</t>
  </si>
  <si>
    <t>C#CCN(CC#C)C(=O)C(C)(OC)c1ccccc1</t>
  </si>
  <si>
    <t>ZZ-002</t>
  </si>
  <si>
    <t>OPA_PXR-046</t>
  </si>
  <si>
    <t>OCNT-2433302</t>
  </si>
  <si>
    <t>COC(=O)c1cc(Br)c2c(c1)CN(C(=O)C(C)(OC)c1ccccc1)CCO2</t>
  </si>
  <si>
    <t>OCNT-2433138</t>
  </si>
  <si>
    <t>COC(C)(C(=O)NCCOc1nc2ccccc2s1)c1ccccc1</t>
  </si>
  <si>
    <t>OCNT-2432880</t>
  </si>
  <si>
    <t>COC(C)(C(=O)NC1(c2cc(Br)ccc2C)CC1)c1ccccc1</t>
  </si>
  <si>
    <t>OCNT-2432897</t>
  </si>
  <si>
    <t>COC(C)(C(=O)NC1CCc2sccc2NC1=O)c1ccccc1</t>
  </si>
  <si>
    <t>OCNT-2433383</t>
  </si>
  <si>
    <t>COC(C)(C(=O)N1C(C)C(=O)N(C)C(C)C1C)c1ccccc1</t>
  </si>
  <si>
    <t>OCNT-2432742</t>
  </si>
  <si>
    <t>COC(C)(C(=O)NC1CCCc2c1cnn2C1CCCC1)c1ccccc1</t>
  </si>
  <si>
    <t>OCNT-2432830</t>
  </si>
  <si>
    <t>COC(C)(C(=O)NCCCOC1CCCc2ccccc21)c1ccccc1</t>
  </si>
  <si>
    <t>OCNT-2432898</t>
  </si>
  <si>
    <t>COC(C)(C(=O)NCc1cc(Cl)c2cccnc2c1O)c1ccccc1</t>
  </si>
  <si>
    <t>OCNT-2432787</t>
  </si>
  <si>
    <t>COC(C)(C(=O)NCc1ccc(C)nc1-n1cc(Cl)cn1)c1ccccc1</t>
  </si>
  <si>
    <t>OCNT-2433177</t>
  </si>
  <si>
    <t>COC(C)(C(=O)NC(c1oc2ccccc2c1C)C(C)C)c1ccccc1</t>
  </si>
  <si>
    <t>OCNT-2433882</t>
  </si>
  <si>
    <t>COC(C)(C(=O)N(C)CCc1ccccc1[N+](=O)[O-])c1ccccc1</t>
  </si>
  <si>
    <t>OCNT-2432886</t>
  </si>
  <si>
    <t>COC(C)(C(=O)NC(C)(C)c1cn(C)nn1)c1ccccc1</t>
  </si>
  <si>
    <t>OCNT-2433063</t>
  </si>
  <si>
    <t>COC(C)(C(=O)NC[C@H]1Oc2ccc(F)cc2[C@H]1c1ccccc1)c1ccccc1</t>
  </si>
  <si>
    <t>OCNT-2433685</t>
  </si>
  <si>
    <t>COC(C)(C(=O)N1CC2CS(=O)(=O)CC2(c2ccccc2)C1)c1ccccc1</t>
  </si>
  <si>
    <t>OCNT-2433222</t>
  </si>
  <si>
    <t>COc1cc(C(C)NC(=O)C(C)(OC)c2ccccc2)cc2ccccc12</t>
  </si>
  <si>
    <t>OCNT-2432821</t>
  </si>
  <si>
    <t>COC(C)(C(=O)NCc1ccc2nncn2c1)c1ccccc1</t>
  </si>
  <si>
    <t>OCNT-2433124</t>
  </si>
  <si>
    <t>COC(C)(C(=O)NC(c1ccc(F)cc1)c1cccs1)c1ccccc1</t>
  </si>
  <si>
    <t>OCNT-2433194</t>
  </si>
  <si>
    <t>COC(C)(C(=O)NCc1cccc(Oc2ccccc2F)c1)c1ccccc1</t>
  </si>
  <si>
    <t>OCNT-2433447</t>
  </si>
  <si>
    <t>CO[C@H]1C[C@@H](CN(C)C(=O)C(C)(OC)c2ccccc2)N(C)C1</t>
  </si>
  <si>
    <t>OCNT-2433991</t>
  </si>
  <si>
    <t>COCCCN1[C@H](C)CN(C(=O)C(C)(OC)c2ccccc2)C[C@@H]1C</t>
  </si>
  <si>
    <t>OCNT-2432986</t>
  </si>
  <si>
    <t>COC(C)(C(=O)NC(C)c1cnn(-c2ccc(C#N)cc2)c1C)c1ccccc1</t>
  </si>
  <si>
    <t>OCNT-2433113</t>
  </si>
  <si>
    <t>COC(C)(C(=O)NC1CC2(CC3CCC2C3)C1)c1ccccc1</t>
  </si>
  <si>
    <t>OCNT-2433326</t>
  </si>
  <si>
    <t>COC(C)(C(=O)N(C1CC1)C(C)C(C)C)c1ccccc1</t>
  </si>
  <si>
    <t>OCNT-2433636</t>
  </si>
  <si>
    <t>COC(C)(C(=O)N(Cc1ccc(C(N)=O)cc1F)C1CC1)c1ccccc1</t>
  </si>
  <si>
    <t>OCNT-2433530</t>
  </si>
  <si>
    <t>COC(C)(C(=O)N(C)CC1CCCOC1c1ccccc1)c1ccccc1</t>
  </si>
  <si>
    <t>OCNT-2432713</t>
  </si>
  <si>
    <t>COC(C)(C(=O)NC1CCC(C)CC1N1CCc2ccccc2C1)c1ccccc1</t>
  </si>
  <si>
    <t>OCNT-2432792</t>
  </si>
  <si>
    <t>COC(C)(C(=O)NCCN1C2CCC1CC(O)C2)c1ccccc1</t>
  </si>
  <si>
    <t>OCNT-2432550</t>
  </si>
  <si>
    <t>COC(C)(C(=O)NC1COc2ccc3ncccc3c2C1)c1ccccc1</t>
  </si>
  <si>
    <t>OCNT-2433755</t>
  </si>
  <si>
    <t>COc1cccc(CN(CC(F)F)C(=O)C(C)(OC)c2ccccc2)c1O</t>
  </si>
  <si>
    <t>OCNT-2433169</t>
  </si>
  <si>
    <t>CCn1nnc(Br)c1CNC(=O)C(C)(OC)c1ccccc1</t>
  </si>
  <si>
    <t>OCNT-2433278</t>
  </si>
  <si>
    <t>COC(C)(C(=O)N1CCN(c2cccc3[nH]ncc23)CC1)c1ccccc1</t>
  </si>
  <si>
    <t>OCNT-2432816</t>
  </si>
  <si>
    <t>COC(C)(C(=O)NCc1c(O)nnc(C)c1C)c1ccccc1</t>
  </si>
  <si>
    <t>OCNT-2433911</t>
  </si>
  <si>
    <t>COC(C)(C(=O)N(Cc1cccc(C)n1)Cc1cccc(C)n1)c1ccccc1</t>
  </si>
  <si>
    <t>OCNT-2432728</t>
  </si>
  <si>
    <t>COC(C)(C(=O)NCc1sc(N2CCCCC2)nc1C)c1ccccc1</t>
  </si>
  <si>
    <t>OCNT-2433101</t>
  </si>
  <si>
    <t>COc1cc(CNC(=O)C(C)(OC)c2ccccc2)c2ccccc2n1</t>
  </si>
  <si>
    <t>OCNT-2433237</t>
  </si>
  <si>
    <t>COC(C)(C(=O)N1CC=C(c2c[nH]c3cc(F)c(F)cc23)CC1)c1ccccc1</t>
  </si>
  <si>
    <t>OCNT-2433577</t>
  </si>
  <si>
    <t>COC(C)(C(=O)N(C)CCc1cnccn1)c1ccccc1</t>
  </si>
  <si>
    <t>OCNT-2433387</t>
  </si>
  <si>
    <t>COC(C)(C(=O)N(C)C1CC(C)OC(C)C1)c1ccccc1</t>
  </si>
  <si>
    <t>OCNT-2433178</t>
  </si>
  <si>
    <t>COC(C)(C(=O)NCc1ccc(-c2ccc3c(c2)CCO3)cc1)c1ccccc1</t>
  </si>
  <si>
    <t>OCNT-2433806</t>
  </si>
  <si>
    <t>COC(=O)c1ccc2[nH]cc(C3CCN(C(=O)C(C)(OC)c4ccccc4)CC3)c2c1</t>
  </si>
  <si>
    <t>OCNT-2433634</t>
  </si>
  <si>
    <t>COC(C)(C(=O)N(CCC(F)(F)F)C1CCC1)c1ccccc1</t>
  </si>
  <si>
    <t>OCNT-2433589</t>
  </si>
  <si>
    <t>COC(C)(C(=O)N(C)C(c1cccc(F)c1)c1cnn(C)c1)c1ccccc1</t>
  </si>
  <si>
    <t>OCNT-2433959</t>
  </si>
  <si>
    <t>COC(C)(C(=O)N1CCc2[nH]ccc2C1)c1ccccc1</t>
  </si>
  <si>
    <t>OCNT-2433227</t>
  </si>
  <si>
    <t>COC(C)(C(=O)NCC1CC2(CCOC2)C1)c1ccccc1</t>
  </si>
  <si>
    <t>OCNT-2433536</t>
  </si>
  <si>
    <t>COC(C)(C(=O)N1C[C@H]2CN(C(=O)c3ccccc3F)C[C@H]2C1)c1ccccc1</t>
  </si>
  <si>
    <t>OCNT-2433220</t>
  </si>
  <si>
    <t>COC(C)(C(=O)NC[C@@H]1C[C@H]2C[C@@H]1[C@H](O)[C@@H]2O)c1ccccc1</t>
  </si>
  <si>
    <t>OCNT-2432876</t>
  </si>
  <si>
    <t>COC(C)(C(=O)NCc1cn(C(F)F)c2ccccc12)c1ccccc1</t>
  </si>
  <si>
    <t>OCNT-2433393</t>
  </si>
  <si>
    <t>C=CCCN(CCCCC)C(=O)C(C)(OC)c1ccccc1</t>
  </si>
  <si>
    <t>OCNT-2433722</t>
  </si>
  <si>
    <t>COC(C)(C(=O)N(C)C(c1ccccc1)c1ncc[nH]1)c1ccccc1</t>
  </si>
  <si>
    <t>OCNT-2432628</t>
  </si>
  <si>
    <t>COC(C)(C(=O)N[C@@H](Cc1ccccc1)C(=O)NCc1cccs1)c1ccccc1</t>
  </si>
  <si>
    <t>OCNT-2432474</t>
  </si>
  <si>
    <t>C=CCOCCCNC(=O)C(C)(OC)c1ccccc1</t>
  </si>
  <si>
    <t>OCNT-2433699</t>
  </si>
  <si>
    <t>COC(C)(C(=O)N1CCCC(c2n[nH]cc2NC(=O)C2CCCC2)C1)c1ccccc1</t>
  </si>
  <si>
    <t>OCNT-2433357</t>
  </si>
  <si>
    <t>COC(C)(C(=O)N1CCC(=C(F)CO)C1)c1ccccc1</t>
  </si>
  <si>
    <t>OCNT-2433544</t>
  </si>
  <si>
    <t>COC(C)(C(=O)N1CCC(CCc2ccc(O)cc2)CC1)c1ccccc1</t>
  </si>
  <si>
    <t>OCNT-2433788</t>
  </si>
  <si>
    <t>COC(C)(C(=O)N1CCCC(S(=O)(=O)N2CCc3ccccc32)C1)c1ccccc1</t>
  </si>
  <si>
    <t>OCNT-2433219</t>
  </si>
  <si>
    <t>COC(C)(C(=O)NCc1cc2c([nH]c1=O)CCN(C)C2)c1ccccc1</t>
  </si>
  <si>
    <t>OCNT-2433513</t>
  </si>
  <si>
    <t>COC(C)(C(=O)N(C)CC1=CN(C(=O)OC(C)(C)C)CCO1)c1ccccc1</t>
  </si>
  <si>
    <t>OCNT-2432738</t>
  </si>
  <si>
    <t>COC(C)(C(=O)N[C@H](CO)Cc1c[nH]cn1)c1ccccc1</t>
  </si>
  <si>
    <t>OCNT-2433301</t>
  </si>
  <si>
    <t>COC(C)(C(=O)N(C)C1CCc2ncsc2C1)c1ccccc1</t>
  </si>
  <si>
    <t>OCNT-2433778</t>
  </si>
  <si>
    <t>COC(C)(C(=O)N1CC2(CCC2)C1c1ccncc1)c1ccccc1</t>
  </si>
  <si>
    <t>OCNT-2433598</t>
  </si>
  <si>
    <t>COC(C)(C(=O)N(Cc1ccc(C)nc1)CC1CC1)c1ccccc1</t>
  </si>
  <si>
    <t>OCNT-2433265</t>
  </si>
  <si>
    <t>COC(C)(C(=O)N1C(C)CCCC1CCN(C)C)c1ccccc1</t>
  </si>
  <si>
    <t>OCNT-2433757</t>
  </si>
  <si>
    <t>COC(C)(C(=O)N(C)Cc1cccnn1)c1ccccc1</t>
  </si>
  <si>
    <t>OCNT-2433243</t>
  </si>
  <si>
    <t>CCN(CCN1CC=CC1)C(=O)C(C)(OC)c1ccccc1</t>
  </si>
  <si>
    <t>OCNT-2433564</t>
  </si>
  <si>
    <t>COC(C)(C(=O)N1CCCN(C)CCOCC1)c1ccccc1</t>
  </si>
  <si>
    <t>OCNT-2433734</t>
  </si>
  <si>
    <t>COC(C)(C(=O)N1[C@@H]2CC[C@@H](C2)[C@H]1C(F)(F)F)c1ccccc1</t>
  </si>
  <si>
    <t>OCNT-2433064</t>
  </si>
  <si>
    <t>COC(C)(C(=O)NCCc1nnc(-c2ccccc2)o1)c1ccccc1</t>
  </si>
  <si>
    <t>OCNT-2432819</t>
  </si>
  <si>
    <t>COC(C)(C(=O)NCc1cnc(O)cn1)c1ccccc1</t>
  </si>
  <si>
    <t>OCNT-2433880</t>
  </si>
  <si>
    <t>COc1c(F)cccc1CC1CCCN1C(=O)C(C)(OC)c1ccccc1</t>
  </si>
  <si>
    <t>OCNT-2433771</t>
  </si>
  <si>
    <t>COC(C)(C(=O)N1CCN(C(=O)OC(C)(C)C)C2CC12)c1ccccc1</t>
  </si>
  <si>
    <t>OCNT-2433510</t>
  </si>
  <si>
    <t>COC(C)(C(=O)N1CCSc2c([nH]c3ccccc23)C1)c1ccccc1</t>
  </si>
  <si>
    <t>OCNT-2433783</t>
  </si>
  <si>
    <t>COC(C)(C(=O)N1CCc2cc(O)ccc2C1C(C)(C)C)c1ccccc1</t>
  </si>
  <si>
    <t>OCNT-2432917</t>
  </si>
  <si>
    <t>COC(C)(C(=O)NC1CC2(CC(COCc3ccccc3)C2)C1)c1ccccc1</t>
  </si>
  <si>
    <t>OCNT-2432467</t>
  </si>
  <si>
    <t>COC(C)(C(=O)NC(c1ccccc1)c1ccc2[nH]cnc2c1)c1ccccc1</t>
  </si>
  <si>
    <t>OCNT-2432885</t>
  </si>
  <si>
    <t>COC(C)(C(=O)NCc1ccsc1-n1cccc1)c1ccccc1</t>
  </si>
  <si>
    <t>OCNT-2433221</t>
  </si>
  <si>
    <t>COC(C)(C(=O)NC(c1ccc(C)cc1)C(C)S(C)(=O)=O)c1ccccc1</t>
  </si>
  <si>
    <t>OCNT-2432804</t>
  </si>
  <si>
    <t>COC(C)(C(=O)NCCc1cc(Cl)c2c(c1)OCCO2)c1ccccc1</t>
  </si>
  <si>
    <t>OCNT-2432469</t>
  </si>
  <si>
    <t>COC(C)(C(=O)NCC1CC2CC2C1)c1ccccc1</t>
  </si>
  <si>
    <t>OCNT-2433277</t>
  </si>
  <si>
    <t>COC(C)(C(=O)N(C)CC1=CCSC1)c1ccccc1</t>
  </si>
  <si>
    <t>OCNT-2433596</t>
  </si>
  <si>
    <t>COC(C)(C(=O)N1CCC(O)(Cc2ccc(OC(F)(F)F)cc2)CC1)c1ccccc1</t>
  </si>
  <si>
    <t>OCNT-2433770</t>
  </si>
  <si>
    <t>COC(C)(C(=O)N(Cc1cccc(C(F)(F)F)c1)C(C)C#N)c1ccccc1</t>
  </si>
  <si>
    <t>OCNT-2433379</t>
  </si>
  <si>
    <t>CO[C@@H]1C[C@@H](c2nc(C)c(C)[nH]2)N(C(=O)C(C)(OC)c2ccccc2)C1</t>
  </si>
  <si>
    <t>OCNT-2433223</t>
  </si>
  <si>
    <t>C=C=CCNC(=O)C(C)(OC)c1ccccc1</t>
  </si>
  <si>
    <t>OCNT-2432679</t>
  </si>
  <si>
    <t>COC(C)(C(=O)NC(c1ccc(Cl)c(F)c1)c1noc(C)n1)c1ccccc1</t>
  </si>
  <si>
    <t>OCNT-2432909</t>
  </si>
  <si>
    <t>COC(C)(C(=O)NCc1cc(C(F)(F)F)cc(S(C)(=O)=O)c1)c1ccccc1</t>
  </si>
  <si>
    <t>OCNT-2433258</t>
  </si>
  <si>
    <t>COC(C)(C(=O)N1CCc2[nH]c(=O)[nH]c(=O)c2C1)c1ccccc1</t>
  </si>
  <si>
    <t>OCNT-2433615</t>
  </si>
  <si>
    <t>COC(C)(C(=O)N(C)Cc1coc2cc(F)cc(F)c12)c1ccccc1</t>
  </si>
  <si>
    <t>OCNT-2433947</t>
  </si>
  <si>
    <t>COC(C)(C(=O)N(CC(N)=O)CC(F)(F)F)c1ccccc1</t>
  </si>
  <si>
    <t>OCNT-2433814</t>
  </si>
  <si>
    <t>COC(C)(C(=O)N1CC(S(C)=O)C1)c1ccccc1</t>
  </si>
  <si>
    <t>OCNT-2432969</t>
  </si>
  <si>
    <t>COC(C)(C(=O)NCC(c1ccccc1)S(=O)(=O)c1ccccc1)c1ccccc1</t>
  </si>
  <si>
    <t>OCNT-2433531</t>
  </si>
  <si>
    <t>COC(C)(C(=O)N1CCSCC1CC(=O)N(Cc1ccsc1)C1CC1)c1ccccc1</t>
  </si>
  <si>
    <t>OCNT-2433201</t>
  </si>
  <si>
    <t>COC(C)(C(=O)NC1CC(C)N(c2ccccc2)C1=O)c1ccccc1</t>
  </si>
  <si>
    <t>OCNT-2433727</t>
  </si>
  <si>
    <t>COC(C)(C(=O)N1Cc2cncnc2C(C)C1)c1ccccc1</t>
  </si>
  <si>
    <t>OCNT-2433041</t>
  </si>
  <si>
    <t>COC(C)(C(=O)NC(c1cnn(-c2ccccc2)c1)C1CCOCC1)c1ccccc1</t>
  </si>
  <si>
    <t>OCNT-2432931</t>
  </si>
  <si>
    <t>COC(C)(C(=O)NC(C)C1CC2CCC1CC2)c1ccccc1</t>
  </si>
  <si>
    <t>OCNT-2433112</t>
  </si>
  <si>
    <t>COC(C)(C(=O)NC(c1ccccc1)C1CC1c1ccncc1)c1ccccc1</t>
  </si>
  <si>
    <t>OCNT-2432693</t>
  </si>
  <si>
    <t>COC(C)(C(=O)N[C@H]1CC(=O)N(C)[C@@H]1c1ccc(Cl)c(Cl)c1)c1ccccc1</t>
  </si>
  <si>
    <t>OCNT-2433660</t>
  </si>
  <si>
    <t>COC(=O)c1nc(C2CCCN2C(=O)C(C)(OC)c2ccccc2)sc1C</t>
  </si>
  <si>
    <t>OCNT-2433224</t>
  </si>
  <si>
    <t>COC(C)(C(=O)NCc1cccc(C(=O)NCC2CCCO2)c1)c1ccccc1</t>
  </si>
  <si>
    <t>OCNT-2433341</t>
  </si>
  <si>
    <t>COCCCOCCN(C)C(=O)C(C)(OC)c1ccccc1</t>
  </si>
  <si>
    <t>OCNT-2433537</t>
  </si>
  <si>
    <t>COC(=O)C1(C2=CCN(C(=O)C(C)(OC)c3ccccc3)CC2)CCOCC1</t>
  </si>
  <si>
    <t>OCNT-2433106</t>
  </si>
  <si>
    <t>COC(C)(C(=O)NCCCn1nc2c(c1C(F)(F)F)CCC2)c1ccccc1</t>
  </si>
  <si>
    <t>OCNT-2432809</t>
  </si>
  <si>
    <t>COC(C)(C(=O)NC1CCc2nc(-c3ccccc3)ncc2C1)c1ccccc1</t>
  </si>
  <si>
    <t>OCNT-2432857</t>
  </si>
  <si>
    <t>COC(C)(C(=O)NCc1ccc(C)cc1OCC1CCOC1)c1ccccc1</t>
  </si>
  <si>
    <t>OCNT-2433372</t>
  </si>
  <si>
    <t>CCN(CC)CCN(CC(C)C)C(=O)C(C)(OC)c1ccccc1</t>
  </si>
  <si>
    <t>OCNT-2432896</t>
  </si>
  <si>
    <t>COC(C)(C(=O)NC(CC(C)C)c1cccc(C#N)c1)c1ccccc1</t>
  </si>
  <si>
    <t>OCNT-2433094</t>
  </si>
  <si>
    <t>COC(C)(C(=O)NCC(O)(C1CCC(F)(F)CC1)C(F)(F)F)c1ccccc1</t>
  </si>
  <si>
    <t>OCNT-2433300</t>
  </si>
  <si>
    <t>COC(C)(C(=O)N1C[C@@H]2OC[C@H](CO)[C@@H]2C1)c1ccccc1</t>
  </si>
  <si>
    <t>OCNT-2433452</t>
  </si>
  <si>
    <t>COC(C)(C(=O)N1C[C@H](CO)C[C@H](C(C)(C)C)C1)c1ccccc1</t>
  </si>
  <si>
    <t>OCNT-2433604</t>
  </si>
  <si>
    <t>COC(C)(C(=O)N1CCC[C@H]2c3[nH]c(C)nc3CC[C@@H]12)c1ccccc1</t>
  </si>
  <si>
    <t>OCNT-2433830</t>
  </si>
  <si>
    <t>COC(C)(C(=O)N1CCN(C(=O)C(C)Oc2cccc(F)c2F)CC1)c1ccccc1</t>
  </si>
  <si>
    <t>OCNT-2432509</t>
  </si>
  <si>
    <t>COC(C)(C(=O)N[C@H]1CCO[C@@H]1c1cncc(-c2ccccc2F)c1)c1ccccc1</t>
  </si>
  <si>
    <t>OCNT-2432468</t>
  </si>
  <si>
    <t>COC(C)(C(=O)NC(C)(C#N)CCSC)c1ccccc1</t>
  </si>
  <si>
    <t>OCNT-2433182</t>
  </si>
  <si>
    <t>COC(C)(C(=O)N[C@H]1C[C@@H](n2cncn2)C1)c1ccccc1</t>
  </si>
  <si>
    <t>OCNT-2432577</t>
  </si>
  <si>
    <t>COC(C)(C(=O)NC(c1cncc(Br)c1)C1CC1)c1ccccc1</t>
  </si>
  <si>
    <t>OCNT-2433543</t>
  </si>
  <si>
    <t>COC(C)(C(=O)N1C[C@H]2CC[C@@H]1c1ccccc12)c1ccccc1</t>
  </si>
  <si>
    <t>OCNT-2432858</t>
  </si>
  <si>
    <t>COC(C)(C(=O)NC1CC(OC(C)(C)C)C1n1cccn1)c1ccccc1</t>
  </si>
  <si>
    <t>OCNT-2432661</t>
  </si>
  <si>
    <t>COC(C)(C(=O)NC(C)(C)C#Cc1ccccc1)c1ccccc1</t>
  </si>
  <si>
    <t>OCNT-2433315</t>
  </si>
  <si>
    <t>COC(C)(C(=O)N1CCSC1c1ccco1)c1ccccc1</t>
  </si>
  <si>
    <t>OCNT-2432985</t>
  </si>
  <si>
    <t>COC(C)(C(=O)NC1(Cc2cccc(Br)c2)CCOC1)c1ccccc1</t>
  </si>
  <si>
    <t>OCNT-2433308</t>
  </si>
  <si>
    <t>COC(C)CN(C(=O)C(C)(OC)c1ccccc1)C(C)C</t>
  </si>
  <si>
    <t>OCNT-2433141</t>
  </si>
  <si>
    <t>COC(C)(C(=O)NC(c1ccc(F)c(F)c1)C(C)(C)N1CCCC1)c1ccccc1</t>
  </si>
  <si>
    <t>OCNT-2433635</t>
  </si>
  <si>
    <t>COC(C)(C(=O)N(CCNC(C)=O)Cc1ccc(C)s1)c1ccccc1</t>
  </si>
  <si>
    <t>OCNT-2432761</t>
  </si>
  <si>
    <t>COC(C)(C(=O)NCCCOc1cc(C)cc(C)c1C)c1ccccc1</t>
  </si>
  <si>
    <t>OCNT-2433365</t>
  </si>
  <si>
    <t>COC(C)(C(=O)N1CCN(C(C)C(F)(F)F)CC1)c1ccccc1</t>
  </si>
  <si>
    <t>OCNT-2432597</t>
  </si>
  <si>
    <t>COC(C)(C(=O)NC1CCCc2c1[nH]c1ccc(Cl)cc21)c1ccccc1</t>
  </si>
  <si>
    <t>OCNT-2433390</t>
  </si>
  <si>
    <t>COC(C)(C(=O)N1CCCN2CCCC12)c1ccccc1</t>
  </si>
  <si>
    <t>OCNT-2432973</t>
  </si>
  <si>
    <t>CNC(=O)COCCNC(=O)C(C)(OC)c1ccccc1</t>
  </si>
  <si>
    <t>OCNT-2433554</t>
  </si>
  <si>
    <t>COC(C)(C(=O)N(C)CCS(=O)(=O)NCC1CC1)c1ccccc1</t>
  </si>
  <si>
    <t>OCNT-2433401</t>
  </si>
  <si>
    <t>COC(C)(C(=O)N1C(C)CC(C)CC1C)c1ccccc1</t>
  </si>
  <si>
    <t>OCNT-2432893</t>
  </si>
  <si>
    <t>COC(C)(C(=O)NCc1nc(-c2cc3ccccc3o2)cs1)c1ccccc1</t>
  </si>
  <si>
    <t>OCNT-2432780</t>
  </si>
  <si>
    <t>CCC(NC(=O)C(C)(OC)c1ccccc1)C(=O)NC(C)c1cc(C)sc1C</t>
  </si>
  <si>
    <t>OCNT-2433879</t>
  </si>
  <si>
    <t>COC(C)(C(=O)N1CCC[C@@H]2O[C@H](c3ccccc3)C[C@H]12)c1ccccc1</t>
  </si>
  <si>
    <t>OCNT-2432559</t>
  </si>
  <si>
    <t>COC(C)(C(=O)NC(C)c1cc2cc(Br)ccc2[nH]1)c1ccccc1</t>
  </si>
  <si>
    <t>OCNT-2433037</t>
  </si>
  <si>
    <t>COc1cccc(C(NC(=O)C(C)(OC)c2ccccc2)C2CC2)n1</t>
  </si>
  <si>
    <t>OCNT-2433054</t>
  </si>
  <si>
    <t>COC(C)(C(=O)NCc1ccn(CC(C)C)n1)c1ccccc1</t>
  </si>
  <si>
    <t>OCNT-2432481</t>
  </si>
  <si>
    <t>COC(C)(C(=O)N[C@@H](C)CN(C)CCCN(C)C)c1ccccc1</t>
  </si>
  <si>
    <t>OCNT-2432891</t>
  </si>
  <si>
    <t>COC(C)(C(=O)NC1(c2nc(C)cc(C(F)F)n2)CCCC1)c1ccccc1</t>
  </si>
  <si>
    <t>OCNT-2433249</t>
  </si>
  <si>
    <t>COC(C)(C(=O)N1CCN2CCOC3CCCC1C23)c1ccccc1</t>
  </si>
  <si>
    <t>OCNT-2433270</t>
  </si>
  <si>
    <t>COC(C)(C(=O)N(C1CC1)[C@@H]1COC[C@H]1O)c1ccccc1</t>
  </si>
  <si>
    <t>OCNT-2433454</t>
  </si>
  <si>
    <t>COC(C)(C(=O)N(CC(F)F)CC(F)F)c1ccccc1</t>
  </si>
  <si>
    <t>OCNT-2433490</t>
  </si>
  <si>
    <t>COC(C)(C(=O)N1CC2CC1C(=O)O2)c1ccccc1</t>
  </si>
  <si>
    <t>OCNT-2433979</t>
  </si>
  <si>
    <t>CCN(C(=O)C(C)(OC)c1ccccc1)C1CCN(C(C)c2ccccc2)C1</t>
  </si>
  <si>
    <t>OCNT-2433343</t>
  </si>
  <si>
    <t>COC(C)(C(=O)N1CCC(=C2C(=O)Nc3cc(Cl)ccc32)CC1)c1ccccc1</t>
  </si>
  <si>
    <t>OCNT-2433286</t>
  </si>
  <si>
    <t>CCSCC(C)N(C)C(=O)C(C)(OC)c1ccccc1</t>
  </si>
  <si>
    <t>OCNT-2433378</t>
  </si>
  <si>
    <t>C#CCN1CCC(N(C(=O)C(C)(OC)c2ccccc2)C2CCOCC2)CC1</t>
  </si>
  <si>
    <t>OCNT-2433786</t>
  </si>
  <si>
    <t>COC(C)(C(=O)N1CCN(c2nc3ccc(Cl)cc3s2)CC1)c1ccccc1</t>
  </si>
  <si>
    <t>OCNT-2432705</t>
  </si>
  <si>
    <t>COC(C)(C(=O)NCCC#N)c1ccccc1</t>
  </si>
  <si>
    <t>OCNT-2433488</t>
  </si>
  <si>
    <t>COC(C)(C(=O)N1C[C@H](C(F)(F)F)[C@@H](S(=O)(=O)N(C)C)C1)c1ccccc1</t>
  </si>
  <si>
    <t>OCNT-2432465</t>
  </si>
  <si>
    <t>COC(C)(C(=O)NC(C(F)(F)F)C(F)(F)F)c1ccccc1</t>
  </si>
  <si>
    <t>OCNT-2433099</t>
  </si>
  <si>
    <t>COC(C)(C(=O)NC(C)C(=O)N1c2ccccc2CC1C)c1ccccc1</t>
  </si>
  <si>
    <t>OCNT-2432719</t>
  </si>
  <si>
    <t>COC(C)(C(=O)NCc1cncc2c1CCC2)c1ccccc1</t>
  </si>
  <si>
    <t>OCNT-2433428</t>
  </si>
  <si>
    <t>COC(C)(C(=O)N1CCC(NC(=O)Nc2cccc3ccccc23)C1)c1ccccc1</t>
  </si>
  <si>
    <t>OCNT-2432504</t>
  </si>
  <si>
    <t>COC(C)(C(=O)NCc1c(O)ccc2ccccc12)c1ccccc1</t>
  </si>
  <si>
    <t>OCNT-2433692</t>
  </si>
  <si>
    <t>CCC(C)N(CC(O)COc1cccc(Cl)c1)C(=O)C(C)(OC)c1ccccc1</t>
  </si>
  <si>
    <t>OCNT-2433652</t>
  </si>
  <si>
    <t>CCCN(CC(=O)Nc1cc(Cl)ccc1Cl)C(=O)C(C)(OC)c1ccccc1</t>
  </si>
  <si>
    <t>OCNT-2433895</t>
  </si>
  <si>
    <t>COC(C)(C(=O)N1[C@@H](CO)C[C@H]2OCC[C@@H]12)c1ccccc1</t>
  </si>
  <si>
    <t>OCNT-2432593</t>
  </si>
  <si>
    <t>COC(C)(C(=O)NCC1(c2nc(-c3ccccc3)cs2)CCOCC1)c1ccccc1</t>
  </si>
  <si>
    <t>OCNT-2432523</t>
  </si>
  <si>
    <t>COC(C)(C(=O)NCC1(C)NC(=O)NC1=O)c1ccccc1</t>
  </si>
  <si>
    <t>OCNT-2433408</t>
  </si>
  <si>
    <t>COC(C)(C(=O)N1CC(Oc2ccncc2C(F)(F)F)C1)c1ccccc1</t>
  </si>
  <si>
    <t>OCNT-2432565</t>
  </si>
  <si>
    <t>COC(C)(C(=O)NC(c1ccc(C)o1)C1(C)CCCO1)c1ccccc1</t>
  </si>
  <si>
    <t>OCNT-2433789</t>
  </si>
  <si>
    <t>COC(C)(C(=O)N1C[C@H]2c3ccccc3OC[C@@]2(C(=O)OC(C)(C)C)C1)c1ccccc1</t>
  </si>
  <si>
    <t>OCNT-2433033</t>
  </si>
  <si>
    <t>COC(C)(C(=O)NCc1cc2cc(F)ccc2s1)c1ccccc1</t>
  </si>
  <si>
    <t>OCNT-2433893</t>
  </si>
  <si>
    <t>COC(C)(C(=O)N1CCn2c(nnc2-c2cccs2)C1)c1ccccc1</t>
  </si>
  <si>
    <t>OCNT-2432603</t>
  </si>
  <si>
    <t>CCOC=CC(O)(CNC(=O)C(C)(OC)c1ccccc1)C(F)(F)F</t>
  </si>
  <si>
    <t>OCNT-2433924</t>
  </si>
  <si>
    <t>C#CCC(Cc1ccccc1)N(C)C(=O)C(C)(OC)c1ccccc1</t>
  </si>
  <si>
    <t>OCNT-2432808</t>
  </si>
  <si>
    <t>COC(C)(C(=O)NC(C)Cn1nc(C(F)(F)F)cc1C1CC1)c1ccccc1</t>
  </si>
  <si>
    <t>OCNT-2433726</t>
  </si>
  <si>
    <t>CCN(CC)C(=O)C1(CC)CCCN(C(=O)C(C)(OC)c2ccccc2)C1</t>
  </si>
  <si>
    <t>OCNT-2433151</t>
  </si>
  <si>
    <t>CCC(CNC(=O)C(C)(OC)c1ccccc1)Oc1ccccc1Cl</t>
  </si>
  <si>
    <t>OCNT-2433320</t>
  </si>
  <si>
    <t>COC(C)(C(=O)N(C)CC(C)(C)CN(C)CCN1CCCC1)c1ccccc1</t>
  </si>
  <si>
    <t>OCNT-2433350</t>
  </si>
  <si>
    <t>COC(C)(C(=O)N1COC2CCCCC2C1)c1ccccc1</t>
  </si>
  <si>
    <t>OCNT-2432843</t>
  </si>
  <si>
    <t>COC(C)(C(=O)NCC(O)COc1ccc(I)cc1)c1ccccc1</t>
  </si>
  <si>
    <t>OCNT-2433650</t>
  </si>
  <si>
    <t>COC(C)(C(=O)N1CC(F)(F)CC1C#N)c1ccccc1</t>
  </si>
  <si>
    <t>OCNT-2433126</t>
  </si>
  <si>
    <t>COC(C)(C(=O)NC(C)c1ccc2ccn(C)c2c1)c1ccccc1</t>
  </si>
  <si>
    <t>OCNT-2432860</t>
  </si>
  <si>
    <t>COc1c(C)cnc(CNC(=O)C(C)(OC)c2ccccc2)c1C</t>
  </si>
  <si>
    <t>OCNT-2433352</t>
  </si>
  <si>
    <t>COC(C)(C(=O)N1CCCc2c([nH]c3c(F)cccc23)C1)c1ccccc1</t>
  </si>
  <si>
    <t>OCNT-2432744</t>
  </si>
  <si>
    <t>COC(C)(C(=O)N[C@H]1CCC[C@H]1n1cnnc1)c1ccccc1</t>
  </si>
  <si>
    <t>OCNT-2432987</t>
  </si>
  <si>
    <t>COC(C)(C(=O)NC(C)c1ccc(Oc2cccnc2)c(F)c1)c1ccccc1</t>
  </si>
  <si>
    <t>OCNT-2433257</t>
  </si>
  <si>
    <t>COC(C)(C(=O)N(C)CC(O)CF)c1ccccc1</t>
  </si>
  <si>
    <t>OCNT-2433189</t>
  </si>
  <si>
    <t>COC(C)(C(=O)NC1CC2C=CC1O2)c1ccccc1</t>
  </si>
  <si>
    <t>OCNT-2432653</t>
  </si>
  <si>
    <t>CCC1CC1(NC(=O)C(C)(OC)c1ccccc1)c1cccc(C)c1</t>
  </si>
  <si>
    <t>OCNT-2433565</t>
  </si>
  <si>
    <t>COC(C)(C(=O)N1C[C@H](C#N)[C@@H](c2ccccc2)C1)c1ccccc1</t>
  </si>
  <si>
    <t>OCNT-2433111</t>
  </si>
  <si>
    <t>COc1cccc2c1OCC(NC(=O)C(C)(OC)c1ccccc1)C2</t>
  </si>
  <si>
    <t>OCNT-2433253</t>
  </si>
  <si>
    <t>COC(=O)C1CC2(C1)OCCCN2C(=O)C(C)(OC)c1ccccc1</t>
  </si>
  <si>
    <t>OCNT-2433165</t>
  </si>
  <si>
    <t>COC(C)(C(=O)NC(CC1CC1)c1ccc(Cl)cn1)c1ccccc1</t>
  </si>
  <si>
    <t>OCNT-2432776</t>
  </si>
  <si>
    <t>COC(C)(C(=O)NCc1cc(Cl)ccc1OC(F)F)c1ccccc1</t>
  </si>
  <si>
    <t>OCNT-2433070</t>
  </si>
  <si>
    <t>COC(C)(C(=O)NC(C)c1cn(C(C)(C)C)nc1C)c1ccccc1</t>
  </si>
  <si>
    <t>OCNT-2432569</t>
  </si>
  <si>
    <t>COC(C)(C(=O)NC1(CCO)CCSCC1)c1ccccc1</t>
  </si>
  <si>
    <t>OCNT-2433109</t>
  </si>
  <si>
    <t>COC(C)(C(=O)N[C@@H]1CP(C)(=O)C[C@H]1O)c1ccccc1</t>
  </si>
  <si>
    <t>OCNT-2433336</t>
  </si>
  <si>
    <t>COC(C)(C(=O)N(C)CC1(C)CC2CC2C1)c1ccccc1</t>
  </si>
  <si>
    <t>OCNT-2433763</t>
  </si>
  <si>
    <t>COc1ccc(CCC(=O)N2CCCN(C(=O)C(C)(OC)c3ccccc3)CC2)cc1</t>
  </si>
  <si>
    <t>OCNT-2433639</t>
  </si>
  <si>
    <t>COC(C)(C(=O)N1CCc2nnn(C3CC(C)C3)c2C1)c1ccccc1</t>
  </si>
  <si>
    <t>OCNT-2433599</t>
  </si>
  <si>
    <t>COC(C)(C(=O)N1CCOC2c3ccccc3OCC12)c1ccccc1</t>
  </si>
  <si>
    <t>OCNT-2432972</t>
  </si>
  <si>
    <t>COC(C)(C(=O)NCC(c1cccc(Cl)c1)N1CCCC1)c1ccccc1</t>
  </si>
  <si>
    <t>OCNT-2432645</t>
  </si>
  <si>
    <t>COC(C)(C(=O)NCc1cnnn1-c1ccccc1)c1ccccc1</t>
  </si>
  <si>
    <t>OCNT-2433129</t>
  </si>
  <si>
    <t>COC(C)(C(=O)NCc1c(Cl)cccc1-n1ccnc1)c1ccccc1</t>
  </si>
  <si>
    <t>OCNT-2433982</t>
  </si>
  <si>
    <t>COC(C)(C(=O)N1CCO[C@H](c2cccc(Cl)c2)[C@H]1C)c1ccccc1</t>
  </si>
  <si>
    <t>OCNT-2433666</t>
  </si>
  <si>
    <t>CCC(c1ccncc1)N(C)C(=O)C(C)(OC)c1ccccc1</t>
  </si>
  <si>
    <t>OCNT-2433571</t>
  </si>
  <si>
    <t>COC(C)(C(=O)N(C)C1CCC(N2C(=O)C=CC2=O)CC1)c1ccccc1</t>
  </si>
  <si>
    <t>OCNT-2432900</t>
  </si>
  <si>
    <t>COC(C)(C(=O)NCc1cc2c(cc1Br)OC(C)(C)O2)c1ccccc1</t>
  </si>
  <si>
    <t>OCNT-2433323</t>
  </si>
  <si>
    <t>COC(C)(C(=O)N1Cc2n[nH]cc2C1C(N)=O)c1ccccc1</t>
  </si>
  <si>
    <t>OCNT-2432518</t>
  </si>
  <si>
    <t>CCC(NC(=O)C(C)(OC)c1ccccc1)c1cccc2cc[nH]c12</t>
  </si>
  <si>
    <t>OCNT-2433368</t>
  </si>
  <si>
    <t>COC(=O)C(C1COC1)N(C)C(=O)C(C)(OC)c1ccccc1</t>
  </si>
  <si>
    <t>OCNT-2433511</t>
  </si>
  <si>
    <t>COC(C)(C(=O)N1CCn2cnc(-c3ccccc3)c2C1)c1ccccc1</t>
  </si>
  <si>
    <t>OCNT-2433897</t>
  </si>
  <si>
    <t>COC(C)(C(=O)N(C)Cc1cccc(=O)[nH]1)c1ccccc1</t>
  </si>
  <si>
    <t>OCNT-2433930</t>
  </si>
  <si>
    <t>COC(=O)C1C2CCC1(C1CCCN(C(=O)C(C)(OC)c3ccccc3)C1)C2</t>
  </si>
  <si>
    <t>OCNT-2433236</t>
  </si>
  <si>
    <t>COC(C)(C(=O)N(C)C1CCCC1SC)c1ccccc1</t>
  </si>
  <si>
    <t>OCNT-2433309</t>
  </si>
  <si>
    <t>COC(C)(C(=O)N1CCC[C@H]1C(=O)N=S(C)(C)=O)c1ccccc1</t>
  </si>
  <si>
    <t>OCNT-2432526</t>
  </si>
  <si>
    <t>C=C1C(NC(=O)C(C)(OC)c2ccccc2)C[C@H]2C[C@@H]1C2(C)C</t>
  </si>
  <si>
    <t>OCNT-2433560</t>
  </si>
  <si>
    <t>COC(C)(C(=O)N(Cc1ccco1)Cc1cc2cc(C)ccc2o1)c1ccccc1</t>
  </si>
  <si>
    <t>OCNT-2433782</t>
  </si>
  <si>
    <t>COC(C)(C(=O)N(CCN1CCN(c2cccc(C)c2)CC1)CC1CC1)c1ccccc1</t>
  </si>
  <si>
    <t>OCNT-2433089</t>
  </si>
  <si>
    <t>COC(C)(C(=O)NCCc1cccc2cnccc12)c1ccccc1</t>
  </si>
  <si>
    <t>OCNT-2433272</t>
  </si>
  <si>
    <t>C#CC(C)N(CCCC)C(=O)C(C)(OC)c1ccccc1</t>
  </si>
  <si>
    <t>OCNT-2432502</t>
  </si>
  <si>
    <t>COC(C)(C(=O)NC(Cc1ccc(F)cc1)C1COc2ccccc2O1)c1ccccc1</t>
  </si>
  <si>
    <t>OCNT-2433518</t>
  </si>
  <si>
    <t>CCC(CC)CN(CC)C(=O)C(C)(OC)c1ccccc1</t>
  </si>
  <si>
    <t>OCNT-2433181</t>
  </si>
  <si>
    <t>COC(C)(C(=O)NCCn1cnnc1)c1ccccc1</t>
  </si>
  <si>
    <t>OCNT-2432658</t>
  </si>
  <si>
    <t>COC(C)(C(=O)N[C@H]1CC=CC[C@@H]1C(F)(F)F)c1ccccc1</t>
  </si>
  <si>
    <t>OCNT-2433430</t>
  </si>
  <si>
    <t>COC(C)(C(=O)N1C[C@H](O)[C@@H](Oc2cccc3c2CCC3)C1)c1ccccc1</t>
  </si>
  <si>
    <t>OCNT-2433603</t>
  </si>
  <si>
    <t>COC(C)(C(=O)N(C)C(CC#N)C(F)(F)F)c1ccccc1</t>
  </si>
  <si>
    <t>OCNT-2432570</t>
  </si>
  <si>
    <t>COC(C)(C(=O)NC1(c2cncn2C)CC1)c1ccccc1</t>
  </si>
  <si>
    <t>OCNT-2433392</t>
  </si>
  <si>
    <t>CCOC(=O)CCCCCN(C)C(=O)C(C)(OC)c1ccccc1</t>
  </si>
  <si>
    <t>OCNT-2432507</t>
  </si>
  <si>
    <t>COC(C)(C(=O)NCCCCn1c(=O)oc2ccccc12)c1ccccc1</t>
  </si>
  <si>
    <t>OCNT-2433522</t>
  </si>
  <si>
    <t>COC(C)(C(=O)N1CCNC(=O)CC1C(F)(F)F)c1ccccc1</t>
  </si>
  <si>
    <t>OCNT-2432644</t>
  </si>
  <si>
    <t>COC(C)(C(=O)NCC(c1ccc(SC)cc1)N(C)C)c1ccccc1</t>
  </si>
  <si>
    <t>OCNT-2432923</t>
  </si>
  <si>
    <t>COC(C)(C(=O)NC1CCS(=O)(=O)c2ccc(Cl)cc21)c1ccccc1</t>
  </si>
  <si>
    <t>OCNT-2433241</t>
  </si>
  <si>
    <t>COC(C)(C(=O)N(CCO)CCCO)c1ccccc1</t>
  </si>
  <si>
    <t>OCNT-2433398</t>
  </si>
  <si>
    <t>COC(C)(C(=O)N1CCCCC1C(C)CN(C)C)c1ccccc1</t>
  </si>
  <si>
    <t>Semi-Pure Batch ID</t>
  </si>
  <si>
    <t>Pure Batch ID</t>
  </si>
  <si>
    <t>OPA_PXR-032 (µM)</t>
  </si>
  <si>
    <t>OPA_PXR-032 pEC50 (log)</t>
  </si>
  <si>
    <t>OPA_PXR-035 (µM)</t>
  </si>
  <si>
    <t>OPA_PXR-035 pEC50 (log)</t>
  </si>
  <si>
    <t>OPA_PXR-036 (µM)</t>
  </si>
  <si>
    <t>OPA_PXR-036 pEC50 (log)</t>
  </si>
  <si>
    <t>Pure pEC50s (log)</t>
  </si>
  <si>
    <t>OPA_PXR-032 (Emax normalized)</t>
  </si>
  <si>
    <t>OPA_PXR-032 (Emax raw)</t>
  </si>
  <si>
    <t>OPA_PXR-035 (Emax normalized)</t>
  </si>
  <si>
    <t>OPA_PXR-035 (Emax raw)</t>
  </si>
  <si>
    <t>OPA_PXR-036 (Emax normalized)</t>
  </si>
  <si>
    <t>OPA_PXR-036 (Emax raw)</t>
  </si>
  <si>
    <t>OPA_PXR-038 (Emax normalized)</t>
  </si>
  <si>
    <t>OPA_PXR-038 (Emax raw)</t>
  </si>
  <si>
    <t>OPA_PXR-039 (Emax normalized)</t>
  </si>
  <si>
    <t>OPA_PXR-039 (Emax raw)</t>
  </si>
  <si>
    <t>OPA_PXR-048 (Emax normalized)</t>
  </si>
  <si>
    <t>OPA_PXR-048 (Emax raw)</t>
  </si>
  <si>
    <t>OPA_PXR-049 (Emax normalized)</t>
  </si>
  <si>
    <t>OPA_PXR-049 (Emax raw)</t>
  </si>
  <si>
    <t>Semi-pure EvapT (°C)</t>
  </si>
  <si>
    <t>Semi-Pure Theoretical Mass-on-Column (ng)</t>
  </si>
  <si>
    <t>Semi-Pure Peak Area (pA*min)</t>
  </si>
  <si>
    <t>Semi-Pure Actual Mass-on-Column (ng)</t>
  </si>
  <si>
    <t>Semi-Pure Product Yield (%)</t>
  </si>
  <si>
    <t>Semi-Pure Correction Factor</t>
  </si>
  <si>
    <t>Semi-Pure EC50s (µM)</t>
  </si>
  <si>
    <t>Corrected Semi-Pure EC50 (µM)</t>
  </si>
  <si>
    <t>Semi-Pure pEC50s (log)</t>
  </si>
  <si>
    <t>Corrected Semi-Pure pEC50 (log)</t>
  </si>
  <si>
    <t>OPA_PXR-032 pEC50 SE (log)</t>
  </si>
  <si>
    <t>OPA_PXR-035 pEC50 SE (log)</t>
  </si>
  <si>
    <t>OPA_PXR-036 pEC50 SE (log)</t>
  </si>
  <si>
    <t>Pure pEC50 ±1 SE (log)</t>
  </si>
  <si>
    <t>Semi-Pure DRC pEC50 SE (log)</t>
  </si>
  <si>
    <t>Semi-Pure CAD Peak Area CV (%)</t>
  </si>
  <si>
    <t>Semi-Pure CAD Slope CV (%)</t>
  </si>
  <si>
    <t>Semi-Pure CAD Yield SE (log10)</t>
  </si>
  <si>
    <t>Corrected Semi-Pure pEC50 ±1 SE (log)</t>
  </si>
  <si>
    <t>Pure pEC50 ±95% CI (log)</t>
  </si>
  <si>
    <t>Semi-Pure pEC50 ±95% CI (log)</t>
  </si>
  <si>
    <t>Corrected Semi-Pure pEC50 ±95% CI (log)</t>
  </si>
  <si>
    <t>OCNT-2395416</t>
  </si>
  <si>
    <t>CCOC1=C(NC(=O)N2CCN(C3=NC(C(C)C)=CC=N3)CC2)C=CC=N1</t>
  </si>
  <si>
    <t>TL-001</t>
  </si>
  <si>
    <t>AA-001</t>
  </si>
  <si>
    <t>OCNT-2314372</t>
  </si>
  <si>
    <t>O=C(C1=CC=C(C2=C(C(F)(F)F)C=CC=C2)O1)N1C2CCCC1CC(=O)NC2</t>
  </si>
  <si>
    <t>AA-004</t>
  </si>
  <si>
    <t>OCNT-2316225</t>
  </si>
  <si>
    <t>CC1=C(C(NC(=O)C2=CSC3=CN=CN23)C(C)(C)C)N=CC=C1</t>
  </si>
  <si>
    <t>OCNT-2314121</t>
  </si>
  <si>
    <t>CCC1=NN=NN1C1=C(NC(=O)C2=NC3=C(C=C2)C(C)=NN3C2=CC=CC=C2)C=CC=C1</t>
  </si>
  <si>
    <t>OCNT-2313323</t>
  </si>
  <si>
    <t>CNS(=O)(=O)C1=C2C(=CC=C1)CN(C(=O)C1(C3=C(C)C=CC=C3)CCC1)CC2</t>
  </si>
  <si>
    <t>OCNT-2308531</t>
  </si>
  <si>
    <t>CCC(C)OC1=NC=CC(C(=O)N2CCC(C)C3=CC=CC(O)=C23)=C1</t>
  </si>
  <si>
    <t>OCNT-2309356</t>
  </si>
  <si>
    <t>CC1CCN(C(=O)C2CC23CCC2=C3C=CC=C2)C2=C1C=CC=C2O</t>
  </si>
  <si>
    <t>OCNT-2311117</t>
  </si>
  <si>
    <t>C=CCC1(C(=O)NC2CCN(C(=O)OC(C)(C)C)CC2CO)CCCCC1</t>
  </si>
  <si>
    <t>OCNT-2313188</t>
  </si>
  <si>
    <t>CC(CC(=O)NCC1=CC=C(C(=O)NC2=CC=NC=C2)C=C1)C1CCCCC1</t>
  </si>
  <si>
    <t>OCNT-2315327</t>
  </si>
  <si>
    <t>O=C(CC1(C2=CC=CC=C2)CCCO1)NC1=NN(CC2=CC=CC=C2F)C=C1Br</t>
  </si>
  <si>
    <t>OCNT-2315472</t>
  </si>
  <si>
    <t>CC1(NC(=O)C2=CC=C(S(=O)(=O)NC3CC3)C=C2)CC=CCC1</t>
  </si>
  <si>
    <t>OCNT-2315950</t>
  </si>
  <si>
    <t>CN1N=C2C=C(Br)C=CC2=C1C(=O)N1CCN(C)C2=C1C=CC(F)=C2</t>
  </si>
  <si>
    <t>OCNT-2316441</t>
  </si>
  <si>
    <t>CC1=C2C(=CC=C1)N(C(=O)C1=NNC(C3=CC=CO3)=C1)CCN2C1CC1</t>
  </si>
  <si>
    <t>OCNT-2317134</t>
  </si>
  <si>
    <t>CCN1C=CN=C1C1CCCCN1C(=O)C1=CC2=C(C=C1)NC(C)=C2C</t>
  </si>
  <si>
    <t>OCNT-2318311</t>
  </si>
  <si>
    <t>COC1=C(N2N=CC(C(=O)NCC3(CC4=CC=C(F)C=C4)CC3)=C2C)C=CC=C1</t>
  </si>
  <si>
    <t>OCNT-2318048</t>
  </si>
  <si>
    <t>CC(C)N(C)C1=C(NS(=O)(=O)C2=CN(C3CCC3)N=C2)C=CC=C1</t>
  </si>
  <si>
    <t>OCNT-2318616</t>
  </si>
  <si>
    <t>CC1=C(N2C=CC(NC(=O)NCCS(=O)(=O)NC3=CC=CC=C3)=N2)C=CC(F)=C1</t>
  </si>
  <si>
    <t>OCNT-2308748</t>
  </si>
  <si>
    <t>COC(C)(C(=O)N1CCN(C2=NC(C(C)C)=CC=N2)CC1)C1=CC=CC=C1</t>
  </si>
  <si>
    <t>TL-002</t>
  </si>
  <si>
    <t>OCNT-2310554</t>
  </si>
  <si>
    <t>CC1=C(C)C=C(S(=O)(=O)CC(=O)N2CCOC(C3=CC=C(F)C=C3)C2)C=C1</t>
  </si>
  <si>
    <t>Library</t>
  </si>
  <si>
    <t>Semi-Pure Emax normalized</t>
  </si>
  <si>
    <t>Semi-Pure Emax raw</t>
  </si>
  <si>
    <t>Library 67126</t>
  </si>
  <si>
    <t>OCNT-2469066</t>
  </si>
  <si>
    <t>CNS(=O)(=O)c1ccc(C(=O)NC2(C)CC=CCC2)cc1</t>
  </si>
  <si>
    <t>OPA_PXR-048</t>
  </si>
  <si>
    <t>OCNT-2469087</t>
  </si>
  <si>
    <t>COC(C(=O)N1CCN(c2ncccn2)CC1)c1ccccc1</t>
  </si>
  <si>
    <t>OCNT-2469067</t>
  </si>
  <si>
    <t>CC1(NC(=O)c2ccc(S(=O)(=O)C3CC3)cc2)CC=CCC1</t>
  </si>
  <si>
    <t>OCNT-2469032</t>
  </si>
  <si>
    <t>CN(C)c1ccccc1NS(=O)(=O)c1cnn(C2CCC2)c1</t>
  </si>
  <si>
    <t>OCNT-2469091</t>
  </si>
  <si>
    <t>COC(C(=O)N1CCN(c2cc(C)ccn2)CC1)c1ccccc1</t>
  </si>
  <si>
    <t>OCNT-2469076</t>
  </si>
  <si>
    <t>COC(C)(C(=O)N1CCN(c2ncccn2)CC1)c1ccccc1</t>
  </si>
  <si>
    <t>OCNT-2469086</t>
  </si>
  <si>
    <t>COC(C(=O)N1CCN(c2nccc(C)n2)CC1)c1ccccc1</t>
  </si>
  <si>
    <t>OCNT-2469090</t>
  </si>
  <si>
    <t>COC(C(=O)N1CCCN(c2ncccn2)CC1)c1ccccc1</t>
  </si>
  <si>
    <t>OCNT-2469113</t>
  </si>
  <si>
    <t>CC(C)c1ccnc(N2CCC(NC(=O)Nc3cccnc3)C2)n1</t>
  </si>
  <si>
    <t>OCNT-2469099</t>
  </si>
  <si>
    <t>CCOc1ncccc1NC(=O)N1CCN(c2ncccn2)CC1</t>
  </si>
  <si>
    <t>OCNT-2469063</t>
  </si>
  <si>
    <t>CC1(NC(=O)c2cccc(S(=O)(=O)NC3CC3)c2)CC=CCC1</t>
  </si>
  <si>
    <t>OCNT-2469035</t>
  </si>
  <si>
    <t>CCN(C)c1ccccc1NS(=O)(=O)c1cnn(C2CCC2)c1</t>
  </si>
  <si>
    <t>OCNT-2469069</t>
  </si>
  <si>
    <t>CC1(NC(=O)c2ccc(S(=O)(=O)NC(N)=O)cc2)CC=CCC1</t>
  </si>
  <si>
    <t>OCNT-2469089</t>
  </si>
  <si>
    <t>COC(C(=O)N1CCN(c2cc(C)cc(C)c2)CC1)c1ccccc1</t>
  </si>
  <si>
    <t>OCNT-2469093</t>
  </si>
  <si>
    <t>COC(C(=O)N1CCN(c2cccc(C)c2)C(C)C1)c1ccccc1</t>
  </si>
  <si>
    <t>OCNT-2469094</t>
  </si>
  <si>
    <t>COC(C(=O)N1CCN(c2cccc(C)c2C)CC1)c1ccccc1</t>
  </si>
  <si>
    <t>OCNT-2469080</t>
  </si>
  <si>
    <t>COC(C)(C(=O)N1CCN(c2cc(C)ccn2)CC1)c1ccccc1</t>
  </si>
  <si>
    <t>OCNT-2469075</t>
  </si>
  <si>
    <t>COC(C)(C(=O)N1CCN(c2nccc(C)n2)CC1)c1ccccc1</t>
  </si>
  <si>
    <t>OCNT-2469079</t>
  </si>
  <si>
    <t>COC(C)(C(=O)N1CCCN(c2ncccn2)CC1)c1ccccc1</t>
  </si>
  <si>
    <t>OCNT-2469085</t>
  </si>
  <si>
    <t>COC(C(=O)N1CCN(c2nc(C)cc(C)n2)CC1)c1ccccc1</t>
  </si>
  <si>
    <t>OCNT-2469110</t>
  </si>
  <si>
    <t>Cc1ccc(NC(=O)NC2CCN(c3nccc(C(C)C)n3)C2)cn1</t>
  </si>
  <si>
    <t>OCNT-2469103</t>
  </si>
  <si>
    <t>CCOc1ncccc1NC(=O)N1CCN(c2cc(C)ccn2)CC1</t>
  </si>
  <si>
    <t>OCNT-2469102</t>
  </si>
  <si>
    <t>CCOc1ncccc1NC(=O)N1CCCN(c2ncccn2)CC1</t>
  </si>
  <si>
    <t>OCNT-2469098</t>
  </si>
  <si>
    <t>CCOc1ncccc1NC(=O)N1CCN(c2nccc(C)n2)CC1</t>
  </si>
  <si>
    <t>OCNT-2469039</t>
  </si>
  <si>
    <t>O=S(=O)(Nc1ccccc1N1CCCC1)c1cnn(C2CCC2)c1</t>
  </si>
  <si>
    <t>OCNT-2469031</t>
  </si>
  <si>
    <t>CC(=O)N(C)c1ccccc1NS(=O)(=O)c1cnn(C2CCC2)c1</t>
  </si>
  <si>
    <t>OCNT-2469071</t>
  </si>
  <si>
    <t>CC1(NC(=O)c2ccc(S(=O)(=O)N3CCCC3)cc2)CC=CCC1</t>
  </si>
  <si>
    <t>OCNT-2469034</t>
  </si>
  <si>
    <t>CCCN(C)c1ccccc1NS(=O)(=O)c1cnn(C2CCC2)c1</t>
  </si>
  <si>
    <t>OCNT-2469030</t>
  </si>
  <si>
    <t>CCN(CC)c1ccccc1NS(=O)(=O)c1cnn(C2CCC2)c1</t>
  </si>
  <si>
    <t>OCNT-2469078</t>
  </si>
  <si>
    <t>COC(C)(C(=O)N1CCN(c2cc(C)cc(C)c2)CC1)c1ccccc1</t>
  </si>
  <si>
    <t>OCNT-2469082</t>
  </si>
  <si>
    <t>COC(C)(C(=O)N1CCN(c2cccc(C)c2)C(C)C1)c1ccccc1</t>
  </si>
  <si>
    <t>OCNT-2469083</t>
  </si>
  <si>
    <t>COC(C)(C(=O)N1CCN(c2cccc(C)c2C)CC1)c1ccccc1</t>
  </si>
  <si>
    <t>OCNT-2469115</t>
  </si>
  <si>
    <t>CCN(C(=O)N1CCN(c2nccc(C(C)C)n2)CC1)c1ccccc1</t>
  </si>
  <si>
    <t>OCNT-2469074</t>
  </si>
  <si>
    <t>COC(C)(C(=O)N1CCN(c2nc(C)cc(C)n2)CC1)c1ccccc1</t>
  </si>
  <si>
    <t>OCNT-2469096</t>
  </si>
  <si>
    <t>COC(C(=O)N1CCN(c2nccc(C(C)C)n2)CC1)c1ccccc1</t>
  </si>
  <si>
    <t>OCNT-2469101</t>
  </si>
  <si>
    <t>CCOc1ncccc1NC(=O)N1CCN(c2cc(C)cc(C)c2)CC1</t>
  </si>
  <si>
    <t>OCNT-2469105</t>
  </si>
  <si>
    <t>CCOc1ncccc1NC(=O)N1CCN(c2cccc(C)c2)C(C)C1</t>
  </si>
  <si>
    <t>OCNT-2469106</t>
  </si>
  <si>
    <t>CCOc1ncccc1NC(=O)N1CCN(c2cccc(C)c2C)CC1</t>
  </si>
  <si>
    <t>OCNT-2469109</t>
  </si>
  <si>
    <t>COc1ccccc1NC(=O)NC1CCN(c2nccc(C(C)C)n2)C1</t>
  </si>
  <si>
    <t>OCNT-2469117</t>
  </si>
  <si>
    <t>COc1ccccc1OC(=O)N1CCN(c2nccc(C(C)C)n2)CC1</t>
  </si>
  <si>
    <t>OCNT-2469097</t>
  </si>
  <si>
    <t>CCOc1ncccc1NC(=O)N1CCN(c2nc(C)cc(C)n2)CC1</t>
  </si>
  <si>
    <t>OCNT-2469064</t>
  </si>
  <si>
    <t>CC1(NC(=O)/C=C/c2ccc(S(=O)(=O)NC3CC3)cc2)CC=CCC1</t>
  </si>
  <si>
    <t>OCNT-2469037</t>
  </si>
  <si>
    <t>O=S(=O)(Nc1ccccc1N1CCCCC1)c1cnn(C2CCC2)c1</t>
  </si>
  <si>
    <t>OCNT-2469118</t>
  </si>
  <si>
    <t>CC(C)c1ccnc(N2CCN(C(=O)Oc3ccc(F)cc3F)CC2)n1</t>
  </si>
  <si>
    <t>OCNT-2469065</t>
  </si>
  <si>
    <t>CC1(NC(=O)CCc2ccc(S(=O)(=O)NC3CC3)cc2)CC=CCC1</t>
  </si>
  <si>
    <t>OCNT-2469070</t>
  </si>
  <si>
    <t>CC1(NC(=O)c2cccc(S(=O)(=O)NC3CCCC3)c2)CC=CCC1</t>
  </si>
  <si>
    <t>OCNT-2469033</t>
  </si>
  <si>
    <t>CC(C)N(C)c1ccccc1CNS(=O)(=O)c1cnn(C2CCC2)c1</t>
  </si>
  <si>
    <t>OCNT-2469072</t>
  </si>
  <si>
    <t>CC1(NC(=O)c2ccc(S(=O)(=O)N3CCOCC3)cc2)CC=CCC1</t>
  </si>
  <si>
    <t>OCNT-2469116</t>
  </si>
  <si>
    <t>CC(C)c1ccnc(N2CCN(C(=O)N3CCOc4ccccc43)CC2)n1</t>
  </si>
  <si>
    <t>OCNT-2469108</t>
  </si>
  <si>
    <t>CC(C)c1cccc(NC(=O)NC2CCN(c3nccc(C(C)C)n3)C2)c1</t>
  </si>
  <si>
    <t>OCNT-2469095</t>
  </si>
  <si>
    <t>COC(C(=O)Nc1nc(C2CC2)nc(N2CCNCC2)n1)c1ccccc1</t>
  </si>
  <si>
    <t>OCNT-2469092</t>
  </si>
  <si>
    <t>COC(C(=O)N1CCN(c2cc(C)nc(C(C)C)n2)CC1)c1ccccc1</t>
  </si>
  <si>
    <t>OCNT-2469114</t>
  </si>
  <si>
    <t>CC(C)c1ccnc(N2CCC(NC(=O)Nc3cccc4c3OCO4)C2)n1</t>
  </si>
  <si>
    <t>OCNT-2469111</t>
  </si>
  <si>
    <t>CCOc1cccc(NC(=O)NC2CCN(c3nccc(C(C)C)n3)C2)c1</t>
  </si>
  <si>
    <t>OCNT-2469088</t>
  </si>
  <si>
    <t>COC(=O)c1ccnc(N2CCN(C(=O)C(OC)c3ccccc3)CC2)n1</t>
  </si>
  <si>
    <t>OCNT-2469058</t>
  </si>
  <si>
    <t>Cc1ccc(S(=O)(=O)CC(=O)N2CCOC(c3ccccn3)C2)cc1C</t>
  </si>
  <si>
    <t>OCNT-2469036</t>
  </si>
  <si>
    <t>CN(c1ccccc1NS(=O)(=O)c1cnn(C2CCC2)c1)C1CCCC1</t>
  </si>
  <si>
    <t>OCNT-2469050</t>
  </si>
  <si>
    <t>Cc1cc(F)ccc1-n1ccc(NC(=O)NCCC(=O)Nc2ccccc2)n1</t>
  </si>
  <si>
    <t>OCNT-2469084</t>
  </si>
  <si>
    <t>COC(C)(C(=O)Nc1nc(C2CC2)nc(N2CCNCC2)n1)c1ccccc1</t>
  </si>
  <si>
    <t>OCNT-2469040</t>
  </si>
  <si>
    <t>CN(c1ccccc1)c1ccccc1NS(=O)(=O)c1cnn(C2CCC2)c1</t>
  </si>
  <si>
    <t>OCNT-2469081</t>
  </si>
  <si>
    <t>COC(C)(C(=O)N1CCN(c2cc(C)nc(C(C)C)n2)CC1)c1ccccc1</t>
  </si>
  <si>
    <t>OCNT-2469077</t>
  </si>
  <si>
    <t>COC(=O)c1ccnc(N2CCN(C(=O)C(C)(OC)c3ccccc3)CC2)n1</t>
  </si>
  <si>
    <t>OCNT-2469107</t>
  </si>
  <si>
    <t>CCOc1ncccc1NC(=O)Nc1nc(C2CC2)nc(N2CCNCC2)n1</t>
  </si>
  <si>
    <t>OCNT-2469038</t>
  </si>
  <si>
    <t>CN(c1ccccc1NS(=O)(=O)c1cnn(C2CCC2)c1)S(C)(=O)=O</t>
  </si>
  <si>
    <t>OCNT-2469104</t>
  </si>
  <si>
    <t>CCOc1ncccc1NC(=O)N1CCN(c2cc(C)nc(C(C)C)n2)CC1</t>
  </si>
  <si>
    <t>OCNT-2469100</t>
  </si>
  <si>
    <t>CCOc1ncccc1NC(=O)N1CCN(c2nccc(C(=O)OC)n2)CC1</t>
  </si>
  <si>
    <t>OCNT-2469061</t>
  </si>
  <si>
    <t>Cc1ccc(S(=O)(=O)CC(=O)N2CCOC(C)(c3ccccc3)C2)cc1C</t>
  </si>
  <si>
    <t>OCNT-2469053</t>
  </si>
  <si>
    <t>Cc1ccc(C2CN(C(=O)CS(=O)(=O)c3ccc(C)c(C)c3)CCO2)cc1</t>
  </si>
  <si>
    <t>OCNT-2469073</t>
  </si>
  <si>
    <t>CN(C1CCCCC1)S(=O)(=O)c1ccc(C(=O)NC2(C)CC=CCC2)cc1</t>
  </si>
  <si>
    <t>OCNT-2469055</t>
  </si>
  <si>
    <t>Cc1ccc(S(=O)(=O)CC(=O)N2CCOC(c3cccc(F)c3)C2)cc1C</t>
  </si>
  <si>
    <t>OCNT-2469059</t>
  </si>
  <si>
    <t>Cc1ccc(S(=O)(=O)CC(=O)N2CCOC(c3ccccc3F)C2)cc1C</t>
  </si>
  <si>
    <t>OCNT-2469119</t>
  </si>
  <si>
    <t>CC(C)c1ccnc(N2CCN(C(=O)Oc3ccccc3C(F)(F)F)CC2)n1</t>
  </si>
  <si>
    <t>OCNT-2469051</t>
  </si>
  <si>
    <t>Cc1cc(F)ccc1-n1ccc(NC(=O)NC(C)CC(=O)Nc2ccccc2)n1</t>
  </si>
  <si>
    <t>OCNT-2469062</t>
  </si>
  <si>
    <t>Cc1ccc(S(=O)(=O)CC(=O)N2CCOC3(CCc4ccccc43)C2)cc1C</t>
  </si>
  <si>
    <t>OCNT-2469048</t>
  </si>
  <si>
    <t>Cc1cc(F)ccc1-n1ccc(NC(=O)NCCS(=N)(=O)c2ccccc2)n1</t>
  </si>
  <si>
    <t>OCNT-2469060</t>
  </si>
  <si>
    <t>Cc1ccc(S(=O)(=O)CC(=O)N2CC(c3ccccc3)OCC2(C)C)cc1C</t>
  </si>
  <si>
    <t>OCNT-2469056</t>
  </si>
  <si>
    <t>Cc1ccc(S(=O)(=O)CC(=O)N2CCCOC(c3ccc(F)cc3)C2)cc1C</t>
  </si>
  <si>
    <t>OCNT-2469112</t>
  </si>
  <si>
    <t>COc1ccc(C(C)(C)C)cc1NC(=O)NC1CCN(c2nccc(C(C)C)n2)C1</t>
  </si>
  <si>
    <t>OCNT-2469068</t>
  </si>
  <si>
    <t>CC1(NC(=O)c2ccc(S(=O)(=O)NC3CCS(=O)(=O)C3)cc2)CC=CCC1</t>
  </si>
  <si>
    <t>OCNT-2469041</t>
  </si>
  <si>
    <t>Cc1cc(F)ccc1-n1ccc(NC(=O)NCCNS(=O)(=O)c2ccccc2)n1</t>
  </si>
  <si>
    <t>OCNT-2469042</t>
  </si>
  <si>
    <t>Cc1cc(F)ccc1-n1ccc(NC(=O)NCCS(=O)(=O)Nc2ccccn2)n1</t>
  </si>
  <si>
    <t>OCNT-2469045</t>
  </si>
  <si>
    <t>Cc1cc(F)ccc1-n1ccc(NC(=O)N2CC(S(=O)(=O)Nc3ccccc3)C2)n1</t>
  </si>
  <si>
    <t>OCNT-2469043</t>
  </si>
  <si>
    <t>Cc1cc(F)ccc1-n1ccc(NC(=O)NCCS(=O)(=O)NCc2ccccc2)n1</t>
  </si>
  <si>
    <t>OCNT-2469057</t>
  </si>
  <si>
    <t>Cc1ccc(S(=O)(=O)CC(=O)N2CCOC(c3ccc(OC(F)F)cc3)C2)cc1C</t>
  </si>
  <si>
    <t>OCNT-2469052</t>
  </si>
  <si>
    <t>Cc1ccc(S(=O)(=O)CC(=O)N2CCOC(c3ccc(C(F)(F)F)cc3)C2)cc1C</t>
  </si>
  <si>
    <t>OCNT-2469046</t>
  </si>
  <si>
    <t>Cc1cc(F)ccc1-n1ccc(NC(=O)N2CCN(S(=O)(=O)c3ccccc3)CC2)n1</t>
  </si>
  <si>
    <t>OCNT-2469047</t>
  </si>
  <si>
    <t>Cc1cc(F)ccc1-n1ccc(NC(=O)NCCS(=O)(=O)N2CCc3ccccc32)n1</t>
  </si>
  <si>
    <t>OCNT-2469049</t>
  </si>
  <si>
    <t>Cc1ccc(NS(=O)(=O)CCNC(=O)Nc2ccn(-c3ccc(F)cc3C)n2)cc1F</t>
  </si>
  <si>
    <t>OCNT-2469054</t>
  </si>
  <si>
    <t>Cc1ccc(S(=O)(=O)CC(=O)N2CCOC(c3ccc(F)c(Br)c3)C2)cc1C</t>
  </si>
  <si>
    <t>OCNT-2469044</t>
  </si>
  <si>
    <t>Cc1cc(F)ccc1-n1ccc(NC(=O)NCCS(=O)(=O)Nc2ccnc(Br)c2)n1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</si>
</sst>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25">
    <xf numFmtId="0" fontId="0" fillId="0" borderId="0" xfId="0"/>
    <xf numFmtId="2" fontId="0" fillId="0" borderId="0" xfId="0" applyNumberFormat="1"/>
    <xf numFmtId="164" fontId="0" fillId="0" borderId="0" xfId="0" applyNumberFormat="1"/>
    <xf numFmtId="0" fontId="2" fillId="0" borderId="1" xfId="0" applyFont="1" applyBorder="1"/>
    <xf numFmtId="0" fontId="1" fillId="0" borderId="1" xfId="0" applyFont="1" applyBorder="1"/>
    <xf numFmtId="0" fontId="1" fillId="3" borderId="1" xfId="0" applyFont="1" applyFill="1" applyBorder="1"/>
    <xf numFmtId="0" fontId="1" fillId="2" borderId="1" xfId="0" applyFont="1" applyFill="1" applyBorder="1"/>
    <xf numFmtId="0" fontId="1" fillId="4" borderId="1" xfId="0" applyFont="1" applyFill="1" applyBorder="1"/>
    <xf numFmtId="164" fontId="0" fillId="0" borderId="0" xfId="0" applyNumberFormat="1" applyAlignment="1">
      <alignment vertical="top"/>
    </xf>
    <xf numFmtId="164" fontId="3" fillId="0" borderId="0" xfId="0" applyNumberFormat="1" applyFont="1" applyAlignment="1">
      <alignment horizontal="right" vertical="top"/>
    </xf>
    <xf numFmtId="164" fontId="0" fillId="0" borderId="0" xfId="0" applyNumberFormat="1" applyAlignment="1">
      <alignment horizontal="right" vertical="top"/>
    </xf>
    <xf numFmtId="2" fontId="0" fillId="0" borderId="0" xfId="0" applyNumberFormat="1" applyAlignment="1">
      <alignment horizontal="left"/>
    </xf>
    <xf numFmtId="0" fontId="1" fillId="5" borderId="1" xfId="0" applyFont="1" applyFill="1" applyBorder="1"/>
    <xf numFmtId="16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64" fontId="0" fillId="0" borderId="0" xfId="0" applyNumberFormat="1" applyAlignment="1">
      <alignment horizontal="right"/>
    </xf>
    <xf numFmtId="164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>
      <alignment horizontal="right"/>
    </xf>
    <xf numFmtId="1" fontId="3" fillId="0" borderId="0" xfId="0" applyNumberFormat="1" applyFont="1" applyAlignment="1">
      <alignment horizontal="right" vertical="top"/>
    </xf>
    <xf numFmtId="2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5" fontId="3" fillId="0" borderId="0" xfId="0" applyNumberFormat="1" applyFont="1" applyAlignment="1">
      <alignment horizontal="right"/>
    </xf>
    <xf numFmtId="49" fontId="3" fillId="0" borderId="0" xfId="0" applyNumberFormat="1" applyFont="1" applyAlignment="1">
      <alignment horizontal="left"/>
    </xf>
    <xf numFmtId="2" fontId="0" fillId="6" borderId="0" xfId="0" applyNumberFormat="1" applyFill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21"/>
  <sheetViews>
    <sheetView tabSelected="1" zoomScale="125" zoomScaleNormal="82" workbookViewId="0"/>
  </sheetViews>
  <sheetFormatPr baseColWidth="10" defaultColWidth="8.83203125" defaultRowHeight="15" x14ac:dyDescent="0.2"/>
  <cols>
    <col min="1" max="1" width="12.83203125" bestFit="1" customWidth="1"/>
    <col min="2" max="2" width="12.83203125" customWidth="1"/>
    <col min="3" max="3" width="12.6640625" bestFit="1" customWidth="1"/>
    <col min="4" max="4" width="16" bestFit="1" customWidth="1"/>
    <col min="5" max="5" width="11.6640625" bestFit="1" customWidth="1"/>
    <col min="6" max="6" width="16.1640625" bestFit="1" customWidth="1"/>
    <col min="7" max="7" width="20.83203125" bestFit="1" customWidth="1"/>
    <col min="8" max="8" width="16.1640625" bestFit="1" customWidth="1"/>
    <col min="9" max="9" width="20.83203125" bestFit="1" customWidth="1"/>
    <col min="10" max="10" width="16.1640625" bestFit="1" customWidth="1"/>
    <col min="11" max="11" width="20.83203125" bestFit="1" customWidth="1"/>
    <col min="12" max="12" width="14.5" bestFit="1" customWidth="1"/>
    <col min="13" max="13" width="26.6640625" bestFit="1" customWidth="1"/>
    <col min="14" max="14" width="20.6640625" bestFit="1" customWidth="1"/>
    <col min="15" max="15" width="26.6640625" bestFit="1" customWidth="1"/>
    <col min="16" max="16" width="20.6640625" bestFit="1" customWidth="1"/>
    <col min="17" max="17" width="26.6640625" bestFit="1" customWidth="1"/>
    <col min="18" max="18" width="20.6640625" bestFit="1" customWidth="1"/>
    <col min="19" max="19" width="26.6640625" bestFit="1" customWidth="1"/>
    <col min="20" max="20" width="20.6640625" bestFit="1" customWidth="1"/>
    <col min="21" max="21" width="26.6640625" bestFit="1" customWidth="1"/>
    <col min="22" max="22" width="20.6640625" bestFit="1" customWidth="1"/>
    <col min="23" max="23" width="26.6640625" bestFit="1" customWidth="1"/>
    <col min="24" max="24" width="20.6640625" bestFit="1" customWidth="1"/>
    <col min="25" max="25" width="26.6640625" bestFit="1" customWidth="1"/>
    <col min="26" max="26" width="20.6640625" bestFit="1" customWidth="1"/>
    <col min="27" max="27" width="11" bestFit="1" customWidth="1"/>
    <col min="28" max="28" width="13.83203125" bestFit="1" customWidth="1"/>
    <col min="29" max="29" width="32.5" bestFit="1" customWidth="1"/>
    <col min="30" max="30" width="21.5" bestFit="1" customWidth="1"/>
    <col min="31" max="31" width="28.5" bestFit="1" customWidth="1"/>
    <col min="32" max="32" width="20.83203125" bestFit="1" customWidth="1"/>
    <col min="33" max="33" width="20.6640625" bestFit="1" customWidth="1"/>
    <col min="34" max="34" width="14.83203125" bestFit="1" customWidth="1"/>
    <col min="35" max="35" width="22.33203125" bestFit="1" customWidth="1"/>
    <col min="36" max="36" width="15.6640625" bestFit="1" customWidth="1"/>
    <col min="37" max="37" width="23.1640625" bestFit="1" customWidth="1"/>
    <col min="38" max="38" width="17.33203125" bestFit="1" customWidth="1"/>
    <col min="39" max="39" width="35.83203125" bestFit="1" customWidth="1"/>
    <col min="40" max="40" width="24.83203125" bestFit="1" customWidth="1"/>
    <col min="41" max="41" width="31.83203125" bestFit="1" customWidth="1"/>
    <col min="42" max="42" width="23" bestFit="1" customWidth="1"/>
    <col min="43" max="43" width="24.5" bestFit="1" customWidth="1"/>
    <col min="44" max="44" width="18.33203125" bestFit="1" customWidth="1"/>
    <col min="45" max="45" width="25.83203125" bestFit="1" customWidth="1"/>
    <col min="46" max="46" width="18.83203125" bestFit="1" customWidth="1"/>
    <col min="47" max="47" width="26.6640625" bestFit="1" customWidth="1"/>
    <col min="48" max="50" width="23.1640625" bestFit="1" customWidth="1"/>
    <col min="51" max="51" width="18.33203125" bestFit="1" customWidth="1"/>
    <col min="52" max="52" width="20.83203125" bestFit="1" customWidth="1"/>
    <col min="53" max="53" width="23" bestFit="1" customWidth="1"/>
    <col min="54" max="54" width="19.5" bestFit="1" customWidth="1"/>
    <col min="55" max="55" width="21.83203125" bestFit="1" customWidth="1"/>
    <col min="56" max="56" width="27.6640625" bestFit="1" customWidth="1"/>
    <col min="57" max="57" width="24" bestFit="1" customWidth="1"/>
    <col min="58" max="58" width="26.33203125" bestFit="1" customWidth="1"/>
    <col min="59" max="59" width="23" bestFit="1" customWidth="1"/>
    <col min="60" max="60" width="25.1640625" bestFit="1" customWidth="1"/>
    <col min="61" max="61" width="31.1640625" bestFit="1" customWidth="1"/>
    <col min="62" max="62" width="20.5" bestFit="1" customWidth="1"/>
    <col min="63" max="63" width="21.5" bestFit="1" customWidth="1"/>
    <col min="64" max="64" width="29.83203125" bestFit="1" customWidth="1"/>
    <col min="65" max="65" width="25" bestFit="1" customWidth="1"/>
    <col min="66" max="66" width="33.1640625" bestFit="1" customWidth="1"/>
  </cols>
  <sheetData>
    <row r="1" spans="1:66" ht="16" customHeight="1" x14ac:dyDescent="0.2">
      <c r="A1" s="4" t="s">
        <v>2</v>
      </c>
      <c r="B1" s="4" t="s">
        <v>3</v>
      </c>
      <c r="C1" s="4" t="s">
        <v>4</v>
      </c>
      <c r="D1" s="4" t="s">
        <v>958</v>
      </c>
      <c r="E1" s="4" t="s">
        <v>959</v>
      </c>
      <c r="F1" s="7" t="s">
        <v>960</v>
      </c>
      <c r="G1" s="7" t="s">
        <v>961</v>
      </c>
      <c r="H1" s="7" t="s">
        <v>962</v>
      </c>
      <c r="I1" s="7" t="s">
        <v>963</v>
      </c>
      <c r="J1" s="7" t="s">
        <v>964</v>
      </c>
      <c r="K1" s="7" t="s">
        <v>965</v>
      </c>
      <c r="L1" s="7" t="s">
        <v>966</v>
      </c>
      <c r="M1" s="12" t="s">
        <v>967</v>
      </c>
      <c r="N1" s="12" t="s">
        <v>968</v>
      </c>
      <c r="O1" s="12" t="s">
        <v>969</v>
      </c>
      <c r="P1" s="12" t="s">
        <v>970</v>
      </c>
      <c r="Q1" s="12" t="s">
        <v>971</v>
      </c>
      <c r="R1" s="12" t="s">
        <v>972</v>
      </c>
      <c r="S1" s="12" t="s">
        <v>973</v>
      </c>
      <c r="T1" s="12" t="s">
        <v>974</v>
      </c>
      <c r="U1" s="12" t="s">
        <v>975</v>
      </c>
      <c r="V1" s="12" t="s">
        <v>976</v>
      </c>
      <c r="W1" s="12" t="s">
        <v>977</v>
      </c>
      <c r="X1" s="12" t="s">
        <v>978</v>
      </c>
      <c r="Y1" s="12" t="s">
        <v>979</v>
      </c>
      <c r="Z1" s="12" t="s">
        <v>980</v>
      </c>
      <c r="AA1" s="4" t="s">
        <v>11</v>
      </c>
      <c r="AB1" s="4" t="s">
        <v>13</v>
      </c>
      <c r="AC1" s="4" t="s">
        <v>14</v>
      </c>
      <c r="AD1" s="4" t="s">
        <v>15</v>
      </c>
      <c r="AE1" s="4" t="s">
        <v>16</v>
      </c>
      <c r="AF1" s="3" t="s">
        <v>17</v>
      </c>
      <c r="AG1" s="3" t="s">
        <v>18</v>
      </c>
      <c r="AH1" s="5" t="s">
        <v>7</v>
      </c>
      <c r="AI1" s="6" t="s">
        <v>19</v>
      </c>
      <c r="AJ1" s="5" t="s">
        <v>8</v>
      </c>
      <c r="AK1" s="6" t="s">
        <v>20</v>
      </c>
      <c r="AL1" s="4" t="s">
        <v>981</v>
      </c>
      <c r="AM1" s="4" t="s">
        <v>982</v>
      </c>
      <c r="AN1" s="4" t="s">
        <v>983</v>
      </c>
      <c r="AO1" s="4" t="s">
        <v>984</v>
      </c>
      <c r="AP1" s="4" t="s">
        <v>985</v>
      </c>
      <c r="AQ1" s="3" t="s">
        <v>986</v>
      </c>
      <c r="AR1" s="5" t="s">
        <v>987</v>
      </c>
      <c r="AS1" s="6" t="s">
        <v>988</v>
      </c>
      <c r="AT1" s="5" t="s">
        <v>989</v>
      </c>
      <c r="AU1" s="6" t="s">
        <v>990</v>
      </c>
      <c r="AV1" s="6" t="s">
        <v>991</v>
      </c>
      <c r="AW1" s="6" t="s">
        <v>992</v>
      </c>
      <c r="AX1" s="6" t="s">
        <v>993</v>
      </c>
      <c r="AY1" s="6" t="s">
        <v>994</v>
      </c>
      <c r="AZ1" s="6" t="s">
        <v>21</v>
      </c>
      <c r="BA1" s="6" t="s">
        <v>22</v>
      </c>
      <c r="BB1" s="6" t="s">
        <v>23</v>
      </c>
      <c r="BC1" s="6" t="s">
        <v>24</v>
      </c>
      <c r="BD1" s="6" t="s">
        <v>25</v>
      </c>
      <c r="BE1" s="6" t="s">
        <v>995</v>
      </c>
      <c r="BF1" s="6" t="s">
        <v>996</v>
      </c>
      <c r="BG1" s="6" t="s">
        <v>997</v>
      </c>
      <c r="BH1" s="6" t="s">
        <v>998</v>
      </c>
      <c r="BI1" s="6" t="s">
        <v>999</v>
      </c>
      <c r="BJ1" s="6" t="s">
        <v>1000</v>
      </c>
      <c r="BK1" s="6" t="s">
        <v>26</v>
      </c>
      <c r="BL1" s="6" t="s">
        <v>27</v>
      </c>
      <c r="BM1" s="6" t="s">
        <v>1001</v>
      </c>
      <c r="BN1" s="6" t="s">
        <v>1002</v>
      </c>
    </row>
    <row r="2" spans="1:66" x14ac:dyDescent="0.2">
      <c r="A2" t="s">
        <v>1003</v>
      </c>
      <c r="B2" t="s">
        <v>1004</v>
      </c>
      <c r="C2" t="s">
        <v>32</v>
      </c>
      <c r="D2" t="s">
        <v>1005</v>
      </c>
      <c r="E2" t="s">
        <v>1006</v>
      </c>
      <c r="F2" s="9" t="s">
        <v>67</v>
      </c>
      <c r="G2" s="9" t="s">
        <v>67</v>
      </c>
      <c r="H2" s="2">
        <v>4.0099999999999989</v>
      </c>
      <c r="I2" s="2">
        <f>IF(H2=0, 0, -LOG10(H2*10^-6))</f>
        <v>5.3968556273798178</v>
      </c>
      <c r="J2" s="10">
        <v>4.7099999999999964</v>
      </c>
      <c r="K2" s="2">
        <f>IF(J2=0, 0, -LOG10(J2*10^-6))</f>
        <v>5.3269790928711043</v>
      </c>
      <c r="L2" s="2">
        <f t="shared" ref="L2:L21" si="0">AVERAGE(G2,I2,K2)</f>
        <v>5.3619173601254611</v>
      </c>
      <c r="M2" s="9" t="s">
        <v>67</v>
      </c>
      <c r="N2" s="9" t="s">
        <v>67</v>
      </c>
      <c r="O2">
        <v>0.55900000000000005</v>
      </c>
      <c r="P2">
        <v>614000</v>
      </c>
      <c r="Q2">
        <v>0.50700000000000001</v>
      </c>
      <c r="R2">
        <v>305000</v>
      </c>
      <c r="S2" s="9" t="s">
        <v>67</v>
      </c>
      <c r="T2" s="9" t="s">
        <v>67</v>
      </c>
      <c r="U2" s="9" t="s">
        <v>67</v>
      </c>
      <c r="V2" s="9" t="s">
        <v>67</v>
      </c>
      <c r="W2">
        <v>1.105</v>
      </c>
      <c r="X2">
        <v>542000</v>
      </c>
      <c r="Y2">
        <v>0.72</v>
      </c>
      <c r="Z2">
        <v>312000</v>
      </c>
      <c r="AA2" s="11" t="s">
        <v>35</v>
      </c>
      <c r="AB2" s="14">
        <v>65</v>
      </c>
      <c r="AC2" s="11">
        <v>500.42</v>
      </c>
      <c r="AD2" s="13">
        <v>13.33007373229985</v>
      </c>
      <c r="AE2" s="11">
        <f t="shared" ref="AE2:AE21" si="1">IF(AD2="","",12.5*AD2)</f>
        <v>166.62592165374812</v>
      </c>
      <c r="AF2" s="1">
        <f t="shared" ref="AF2:AF21" si="2">IF(OR(AE2="",AC2=""),"",AE2/AC2*100)</f>
        <v>33.29721467042647</v>
      </c>
      <c r="AG2" s="1">
        <f t="shared" ref="AG2:AG21" si="3">IF(AF2="","",AF2/100)</f>
        <v>0.33297214670426473</v>
      </c>
      <c r="AH2" s="2">
        <v>9.3999999999999932</v>
      </c>
      <c r="AI2" s="2">
        <f t="shared" ref="AI2:AI21" si="4">IF(OR(AH2="",AG2=""),"",AH2*AG2)</f>
        <v>3.129938179020086</v>
      </c>
      <c r="AJ2" s="2">
        <f t="shared" ref="AJ2:AJ21" si="5">IF(AH2=0,0,-LOG10(AH2*10^-6))</f>
        <v>5.0268721464003017</v>
      </c>
      <c r="AK2" s="2">
        <f t="shared" ref="AK2:AK21" si="6">IF(AI2="","",IF(AI2=0,0,-LOG10(AI2*10^-6)))</f>
        <v>5.5044642403371267</v>
      </c>
      <c r="AL2" s="14">
        <v>65</v>
      </c>
      <c r="AM2" s="11">
        <v>502.12</v>
      </c>
      <c r="AN2" s="13">
        <v>13.02700637738287</v>
      </c>
      <c r="AO2" s="11">
        <f t="shared" ref="AO2:AO21" si="7">IF(AN2="","",12.5*AN2)</f>
        <v>162.83757971728588</v>
      </c>
      <c r="AP2" s="1">
        <f t="shared" ref="AP2:AP21" si="8">IF(OR(AO2="",AM2=""),"",AO2/AM2*100)</f>
        <v>32.430012689653047</v>
      </c>
      <c r="AQ2" s="1">
        <f t="shared" ref="AQ2:AQ21" si="9">IF(AP2="","",AP2/100)</f>
        <v>0.32430012689653048</v>
      </c>
      <c r="AR2" s="2">
        <v>12.28006514640702</v>
      </c>
      <c r="AS2" s="2">
        <f t="shared" ref="AS2:AS21" si="10">IF(OR(AR2="",AQ2=""),"",AR2*AQ2)</f>
        <v>3.9824266852774577</v>
      </c>
      <c r="AT2" s="2">
        <f t="shared" ref="AT2:AT21" si="11">IF(AR2=0,0,-LOG10(AR2*10^-6))</f>
        <v>4.9107993292331216</v>
      </c>
      <c r="AU2" s="2">
        <f t="shared" ref="AU2:AU21" si="12">IF(AS2="","",IF(AS2=0,0,-LOG10(AS2*10^-6)))</f>
        <v>5.3998522106235098</v>
      </c>
      <c r="AV2" s="21" t="s">
        <v>68</v>
      </c>
      <c r="AW2" s="21">
        <v>7.3099999999999998E-2</v>
      </c>
      <c r="AX2" s="21">
        <v>4.5999999999999999E-2</v>
      </c>
      <c r="AY2" s="21">
        <f t="shared" ref="AY2:AY21" si="13">IF(COUNT(AV2:AX2)=0,"-",SQRT(SUMSQ(AV2:AX2))/COUNT(AV2:AX2))</f>
        <v>4.3184516901315452E-2</v>
      </c>
      <c r="AZ2" s="21">
        <v>7.2700000000000001E-2</v>
      </c>
      <c r="BA2" s="20">
        <f t="shared" ref="BA2:BA21" si="14">IF(OR(AD2="",AD2=0),"-",43.15/AD2+0.86)</f>
        <v>4.0970413597521258</v>
      </c>
      <c r="BB2" s="20">
        <f t="shared" ref="BB2:BB21" si="15">IF(BA2="-","-",31.74)</f>
        <v>31.74</v>
      </c>
      <c r="BC2" s="21">
        <f t="shared" ref="BC2:BC21" si="16">IF(OR(BA2="-",BB2="-"),"-",SQRT((BA2/100)^2+(BB2/100)^2)/LN(10))</f>
        <v>0.13898871092647391</v>
      </c>
      <c r="BD2" s="21">
        <f t="shared" ref="BD2:BD21" si="17">IF(OR(AZ2="-",BC2="-"),"-",SQRT(AZ2^2+BC2^2))</f>
        <v>0.15685391855163494</v>
      </c>
      <c r="BE2" s="21">
        <v>5.2921120547471397E-2</v>
      </c>
      <c r="BF2" s="20">
        <f t="shared" ref="BF2:BF21" si="18">IF(OR(AN2="",AN2=0),"-",43.15/AN2+0.86)</f>
        <v>4.1723496488737304</v>
      </c>
      <c r="BG2" s="20">
        <f t="shared" ref="BG2:BG21" si="19">IF(BF2="-","-",31.74)</f>
        <v>31.74</v>
      </c>
      <c r="BH2" s="21">
        <f t="shared" ref="BH2:BH21" si="20">IF(OR(BF2="-",BG2="-"),"-",SQRT((BF2/100)^2+(BG2/100)^2)/LN(10))</f>
        <v>0.13903095924293984</v>
      </c>
      <c r="BI2" s="21">
        <f t="shared" ref="BI2:BI21" si="21">IF(OR(BE2="-",BH2="-"),"-",SQRT(BE2^2+BH2^2))</f>
        <v>0.14876240327452364</v>
      </c>
      <c r="BJ2" s="21">
        <f t="shared" ref="BJ2:BJ21" si="22">IF(AY2="-","-",AY2*1.96)</f>
        <v>8.4641653126578287E-2</v>
      </c>
      <c r="BK2" s="21">
        <f t="shared" ref="BK2:BK21" si="23">IF(AZ2="-","-",AZ2*1.96)</f>
        <v>0.14249200000000001</v>
      </c>
      <c r="BL2" s="21">
        <f t="shared" ref="BL2:BL21" si="24">IF(BD2="-","-",BD2*1.96)</f>
        <v>0.3074336803612045</v>
      </c>
      <c r="BM2" s="21">
        <f t="shared" ref="BM2:BM21" si="25">IF(BE2="-","-",BE2*1.96)</f>
        <v>0.10372539627304393</v>
      </c>
      <c r="BN2" s="21">
        <f t="shared" ref="BN2:BN21" si="26">IF(BI2="-","-",BI2*1.96)</f>
        <v>0.29157431041806631</v>
      </c>
    </row>
    <row r="3" spans="1:66" x14ac:dyDescent="0.2">
      <c r="A3" t="s">
        <v>1007</v>
      </c>
      <c r="B3" t="s">
        <v>1008</v>
      </c>
      <c r="C3" t="s">
        <v>32</v>
      </c>
      <c r="D3" t="s">
        <v>1005</v>
      </c>
      <c r="E3" t="s">
        <v>1009</v>
      </c>
      <c r="F3" s="8">
        <v>0.41100000000000009</v>
      </c>
      <c r="G3" s="2">
        <f t="shared" ref="G3:G21" si="27">IF(F3=0, 0, -LOG10(F3*10^-6))</f>
        <v>6.3861581781239307</v>
      </c>
      <c r="H3" s="9" t="s">
        <v>67</v>
      </c>
      <c r="I3" s="9" t="s">
        <v>67</v>
      </c>
      <c r="J3" s="9" t="s">
        <v>67</v>
      </c>
      <c r="K3" s="9" t="s">
        <v>67</v>
      </c>
      <c r="L3" s="2">
        <f t="shared" si="0"/>
        <v>6.3861581781239307</v>
      </c>
      <c r="M3">
        <v>0.77600000000000002</v>
      </c>
      <c r="N3">
        <v>708000</v>
      </c>
      <c r="O3" s="9" t="s">
        <v>67</v>
      </c>
      <c r="P3" s="9" t="s">
        <v>67</v>
      </c>
      <c r="Q3" s="9" t="s">
        <v>67</v>
      </c>
      <c r="R3" s="9" t="s">
        <v>67</v>
      </c>
      <c r="S3" s="17">
        <v>0.77600000000000002</v>
      </c>
      <c r="T3" s="17">
        <v>873000</v>
      </c>
      <c r="U3" s="17">
        <v>0.89900000000000002</v>
      </c>
      <c r="V3" s="17">
        <v>1030000</v>
      </c>
      <c r="W3" s="9" t="s">
        <v>67</v>
      </c>
      <c r="X3" s="9" t="s">
        <v>67</v>
      </c>
      <c r="Y3" s="9" t="s">
        <v>67</v>
      </c>
      <c r="Z3" s="9" t="s">
        <v>67</v>
      </c>
      <c r="AA3" s="11" t="s">
        <v>35</v>
      </c>
      <c r="AB3" s="14">
        <v>65</v>
      </c>
      <c r="AC3" s="11">
        <v>205.99792500000001</v>
      </c>
      <c r="AD3" s="13">
        <v>14.58484380034125</v>
      </c>
      <c r="AE3" s="11">
        <f t="shared" si="1"/>
        <v>182.31054750426563</v>
      </c>
      <c r="AF3" s="1">
        <f t="shared" si="2"/>
        <v>88.501157234601095</v>
      </c>
      <c r="AG3" s="1">
        <f t="shared" si="3"/>
        <v>0.88501157234601091</v>
      </c>
      <c r="AH3" s="2">
        <v>1.380000000000001</v>
      </c>
      <c r="AI3" s="2">
        <f t="shared" si="4"/>
        <v>1.221315969837496</v>
      </c>
      <c r="AJ3" s="2">
        <f t="shared" si="5"/>
        <v>5.8601209135987631</v>
      </c>
      <c r="AK3" s="2">
        <f t="shared" si="6"/>
        <v>5.9131719640612124</v>
      </c>
      <c r="AL3" s="14">
        <v>65</v>
      </c>
      <c r="AM3" s="11">
        <v>398.19</v>
      </c>
      <c r="AN3" s="13">
        <v>18.632570057654199</v>
      </c>
      <c r="AO3" s="11">
        <f t="shared" si="7"/>
        <v>232.9071257206775</v>
      </c>
      <c r="AP3" s="1">
        <f t="shared" si="8"/>
        <v>58.49145526524461</v>
      </c>
      <c r="AQ3" s="1">
        <f t="shared" si="9"/>
        <v>0.58491455265244607</v>
      </c>
      <c r="AR3" s="2">
        <v>1.5</v>
      </c>
      <c r="AS3" s="2">
        <f t="shared" si="10"/>
        <v>0.87737182897866917</v>
      </c>
      <c r="AT3" s="2">
        <f t="shared" si="11"/>
        <v>5.8239087409443187</v>
      </c>
      <c r="AU3" s="2">
        <f t="shared" si="12"/>
        <v>6.056816314215923</v>
      </c>
      <c r="AV3" s="21">
        <v>4.9299999999999997E-2</v>
      </c>
      <c r="AW3" s="21" t="s">
        <v>68</v>
      </c>
      <c r="AX3" s="21" t="s">
        <v>68</v>
      </c>
      <c r="AY3" s="21">
        <f t="shared" si="13"/>
        <v>4.9299999999999997E-2</v>
      </c>
      <c r="AZ3" s="21">
        <v>4.8500000000000001E-2</v>
      </c>
      <c r="BA3" s="20">
        <f t="shared" si="14"/>
        <v>3.8185507113206376</v>
      </c>
      <c r="BB3" s="20">
        <f t="shared" si="15"/>
        <v>31.74</v>
      </c>
      <c r="BC3" s="21">
        <f t="shared" si="16"/>
        <v>0.13883905738681948</v>
      </c>
      <c r="BD3" s="21">
        <f t="shared" si="17"/>
        <v>0.14706642667876496</v>
      </c>
      <c r="BE3" s="21">
        <v>4.4699999999999997E-2</v>
      </c>
      <c r="BF3" s="20">
        <f t="shared" si="18"/>
        <v>3.1758372605862881</v>
      </c>
      <c r="BG3" s="20">
        <f t="shared" si="19"/>
        <v>31.74</v>
      </c>
      <c r="BH3" s="21">
        <f t="shared" si="20"/>
        <v>0.13853337357712112</v>
      </c>
      <c r="BI3" s="21">
        <f t="shared" si="21"/>
        <v>0.14556643017762785</v>
      </c>
      <c r="BJ3" s="21">
        <f t="shared" si="22"/>
        <v>9.6627999999999992E-2</v>
      </c>
      <c r="BK3" s="21">
        <f t="shared" si="23"/>
        <v>9.5060000000000006E-2</v>
      </c>
      <c r="BL3" s="21">
        <f t="shared" si="24"/>
        <v>0.28825019629037935</v>
      </c>
      <c r="BM3" s="21">
        <f t="shared" si="25"/>
        <v>8.7611999999999995E-2</v>
      </c>
      <c r="BN3" s="21">
        <f t="shared" si="26"/>
        <v>0.28531020314815059</v>
      </c>
    </row>
    <row r="4" spans="1:66" x14ac:dyDescent="0.2">
      <c r="A4" t="s">
        <v>1010</v>
      </c>
      <c r="B4" t="s">
        <v>1011</v>
      </c>
      <c r="C4" t="s">
        <v>32</v>
      </c>
      <c r="D4" t="s">
        <v>1005</v>
      </c>
      <c r="E4" t="s">
        <v>1009</v>
      </c>
      <c r="F4" s="8">
        <v>0.59300000000000053</v>
      </c>
      <c r="G4" s="2">
        <f t="shared" si="27"/>
        <v>6.226945306635737</v>
      </c>
      <c r="H4" s="9" t="s">
        <v>67</v>
      </c>
      <c r="I4" s="9" t="s">
        <v>67</v>
      </c>
      <c r="J4" s="9" t="s">
        <v>67</v>
      </c>
      <c r="K4" s="9" t="s">
        <v>67</v>
      </c>
      <c r="L4" s="2">
        <f t="shared" si="0"/>
        <v>6.226945306635737</v>
      </c>
      <c r="M4">
        <v>0.71</v>
      </c>
      <c r="N4">
        <v>710000</v>
      </c>
      <c r="O4" s="9" t="s">
        <v>67</v>
      </c>
      <c r="P4" s="9" t="s">
        <v>67</v>
      </c>
      <c r="Q4" s="9" t="s">
        <v>67</v>
      </c>
      <c r="R4" s="9" t="s">
        <v>67</v>
      </c>
      <c r="S4" s="17">
        <v>0.59099999999999997</v>
      </c>
      <c r="T4" s="17">
        <v>710000</v>
      </c>
      <c r="U4" s="17">
        <v>1.1000000000000001</v>
      </c>
      <c r="V4" s="17">
        <v>1220000</v>
      </c>
      <c r="W4" s="9" t="s">
        <v>67</v>
      </c>
      <c r="X4" s="9" t="s">
        <v>67</v>
      </c>
      <c r="Y4" s="9" t="s">
        <v>67</v>
      </c>
      <c r="Z4" s="9" t="s">
        <v>67</v>
      </c>
      <c r="AA4" s="11" t="s">
        <v>35</v>
      </c>
      <c r="AB4" s="14">
        <v>65</v>
      </c>
      <c r="AC4" s="11">
        <v>172.43152499999999</v>
      </c>
      <c r="AD4" s="13">
        <v>5.9461989592064777</v>
      </c>
      <c r="AE4" s="11">
        <f t="shared" si="1"/>
        <v>74.32748699008097</v>
      </c>
      <c r="AF4" s="1">
        <f t="shared" si="2"/>
        <v>43.105509268146278</v>
      </c>
      <c r="AG4" s="1">
        <f t="shared" si="3"/>
        <v>0.4310550926814628</v>
      </c>
      <c r="AH4" s="2">
        <v>3.7100000000000022</v>
      </c>
      <c r="AI4" s="2">
        <f t="shared" si="4"/>
        <v>1.5992143938482279</v>
      </c>
      <c r="AJ4" s="2">
        <f t="shared" si="5"/>
        <v>5.4306260903849539</v>
      </c>
      <c r="AK4" s="2">
        <f t="shared" si="6"/>
        <v>5.7960933099725267</v>
      </c>
      <c r="AL4" s="14">
        <v>65</v>
      </c>
      <c r="AM4" s="11">
        <v>398.27</v>
      </c>
      <c r="AN4" s="13">
        <v>7.3639157226902396</v>
      </c>
      <c r="AO4" s="11">
        <f t="shared" si="7"/>
        <v>92.048946533627998</v>
      </c>
      <c r="AP4" s="1">
        <f t="shared" si="8"/>
        <v>23.112196884934342</v>
      </c>
      <c r="AQ4" s="1">
        <f t="shared" si="9"/>
        <v>0.23112196884934341</v>
      </c>
      <c r="AR4" s="2">
        <v>7.6000000000000014</v>
      </c>
      <c r="AS4" s="2">
        <f t="shared" si="10"/>
        <v>1.7565269632550102</v>
      </c>
      <c r="AT4" s="2">
        <f t="shared" si="11"/>
        <v>5.1191864077192086</v>
      </c>
      <c r="AU4" s="2">
        <f t="shared" si="12"/>
        <v>5.7553451792605186</v>
      </c>
      <c r="AV4" s="21">
        <v>0.12</v>
      </c>
      <c r="AW4" s="21" t="s">
        <v>68</v>
      </c>
      <c r="AX4" s="21" t="s">
        <v>68</v>
      </c>
      <c r="AY4" s="21">
        <f t="shared" si="13"/>
        <v>0.12</v>
      </c>
      <c r="AZ4" s="21">
        <v>5.9400000000000001E-2</v>
      </c>
      <c r="BA4" s="20">
        <f t="shared" si="14"/>
        <v>8.1167366642165604</v>
      </c>
      <c r="BB4" s="20">
        <f t="shared" si="15"/>
        <v>31.74</v>
      </c>
      <c r="BC4" s="21">
        <f t="shared" si="16"/>
        <v>0.14228093145702317</v>
      </c>
      <c r="BD4" s="21">
        <f t="shared" si="17"/>
        <v>0.15418243562831055</v>
      </c>
      <c r="BE4" s="21">
        <v>9.5500000000000002E-2</v>
      </c>
      <c r="BF4" s="20">
        <f t="shared" si="18"/>
        <v>6.7196542417022833</v>
      </c>
      <c r="BG4" s="20">
        <f t="shared" si="19"/>
        <v>31.74</v>
      </c>
      <c r="BH4" s="21">
        <f t="shared" si="20"/>
        <v>0.14090037446943071</v>
      </c>
      <c r="BI4" s="21">
        <f t="shared" si="21"/>
        <v>0.17021505669483472</v>
      </c>
      <c r="BJ4" s="21">
        <f t="shared" si="22"/>
        <v>0.23519999999999999</v>
      </c>
      <c r="BK4" s="21">
        <f t="shared" si="23"/>
        <v>0.116424</v>
      </c>
      <c r="BL4" s="21">
        <f t="shared" si="24"/>
        <v>0.30219757383148865</v>
      </c>
      <c r="BM4" s="21">
        <f t="shared" si="25"/>
        <v>0.18718000000000001</v>
      </c>
      <c r="BN4" s="21">
        <f t="shared" si="26"/>
        <v>0.33362151112187605</v>
      </c>
    </row>
    <row r="5" spans="1:66" x14ac:dyDescent="0.2">
      <c r="A5" t="s">
        <v>1012</v>
      </c>
      <c r="B5" t="s">
        <v>1013</v>
      </c>
      <c r="C5" t="s">
        <v>32</v>
      </c>
      <c r="D5" t="s">
        <v>1005</v>
      </c>
      <c r="E5" t="s">
        <v>1009</v>
      </c>
      <c r="F5" s="8">
        <v>0.60899999999999976</v>
      </c>
      <c r="G5" s="2">
        <f t="shared" si="27"/>
        <v>6.2153827073671248</v>
      </c>
      <c r="H5" s="9" t="s">
        <v>67</v>
      </c>
      <c r="I5" s="9" t="s">
        <v>67</v>
      </c>
      <c r="J5" s="9" t="s">
        <v>67</v>
      </c>
      <c r="K5" s="9" t="s">
        <v>67</v>
      </c>
      <c r="L5" s="2">
        <f t="shared" si="0"/>
        <v>6.2153827073671248</v>
      </c>
      <c r="M5">
        <v>0.77</v>
      </c>
      <c r="N5">
        <v>703000</v>
      </c>
      <c r="O5" s="9" t="s">
        <v>67</v>
      </c>
      <c r="P5" s="9" t="s">
        <v>67</v>
      </c>
      <c r="Q5" s="9" t="s">
        <v>67</v>
      </c>
      <c r="R5" s="9" t="s">
        <v>67</v>
      </c>
      <c r="S5" s="17">
        <v>0.745</v>
      </c>
      <c r="T5" s="17">
        <v>846000</v>
      </c>
      <c r="U5" s="17">
        <v>1.07</v>
      </c>
      <c r="V5" s="17">
        <v>1190000</v>
      </c>
      <c r="W5" s="9" t="s">
        <v>67</v>
      </c>
      <c r="X5" s="9" t="s">
        <v>67</v>
      </c>
      <c r="Y5" s="9" t="s">
        <v>67</v>
      </c>
      <c r="Z5" s="9" t="s">
        <v>67</v>
      </c>
      <c r="AA5" s="11" t="s">
        <v>35</v>
      </c>
      <c r="AB5" s="14">
        <v>65</v>
      </c>
      <c r="AC5" s="11">
        <v>222.84569999999999</v>
      </c>
      <c r="AD5" s="13">
        <v>1.181475850534083</v>
      </c>
      <c r="AE5" s="11">
        <f t="shared" si="1"/>
        <v>14.768448131676038</v>
      </c>
      <c r="AF5" s="1">
        <f t="shared" si="2"/>
        <v>6.6272080330363288</v>
      </c>
      <c r="AG5" s="1">
        <f t="shared" si="3"/>
        <v>6.6272080330363289E-2</v>
      </c>
      <c r="AH5" s="2">
        <v>8.370000000000001</v>
      </c>
      <c r="AI5" s="2">
        <f t="shared" si="4"/>
        <v>0.55469731236514075</v>
      </c>
      <c r="AJ5" s="2">
        <f t="shared" si="5"/>
        <v>5.07727454200674</v>
      </c>
      <c r="AK5" s="2">
        <f t="shared" si="6"/>
        <v>6.2559439383717805</v>
      </c>
      <c r="AL5" s="14">
        <v>65</v>
      </c>
      <c r="AM5" s="11">
        <v>397.13</v>
      </c>
      <c r="AN5" s="13">
        <v>1.47611793729711</v>
      </c>
      <c r="AO5" s="11">
        <f t="shared" si="7"/>
        <v>18.451474216213875</v>
      </c>
      <c r="AP5" s="1">
        <f t="shared" si="8"/>
        <v>4.6462050754699655</v>
      </c>
      <c r="AQ5" s="1">
        <f t="shared" si="9"/>
        <v>4.6462050754699655E-2</v>
      </c>
      <c r="AR5" s="2">
        <v>10.19999999999999</v>
      </c>
      <c r="AS5" s="2">
        <f t="shared" si="10"/>
        <v>0.47391291769793603</v>
      </c>
      <c r="AT5" s="2">
        <f t="shared" si="11"/>
        <v>4.9913998282380829</v>
      </c>
      <c r="AU5" s="2">
        <f t="shared" si="12"/>
        <v>6.3243014533422253</v>
      </c>
      <c r="AV5" s="21">
        <v>6.4500000000000002E-2</v>
      </c>
      <c r="AW5" s="21" t="s">
        <v>68</v>
      </c>
      <c r="AX5" s="21" t="s">
        <v>68</v>
      </c>
      <c r="AY5" s="21">
        <f t="shared" si="13"/>
        <v>6.4500000000000002E-2</v>
      </c>
      <c r="AZ5" s="21">
        <v>8.5400000000000004E-2</v>
      </c>
      <c r="BA5" s="20">
        <f t="shared" si="14"/>
        <v>37.382117638286182</v>
      </c>
      <c r="BB5" s="20">
        <f t="shared" si="15"/>
        <v>31.74</v>
      </c>
      <c r="BC5" s="21">
        <f t="shared" si="16"/>
        <v>0.21297485761203067</v>
      </c>
      <c r="BD5" s="21">
        <f t="shared" si="17"/>
        <v>0.22945903768399434</v>
      </c>
      <c r="BE5" s="21">
        <v>0.05</v>
      </c>
      <c r="BF5" s="20">
        <f t="shared" si="18"/>
        <v>30.092081603866355</v>
      </c>
      <c r="BG5" s="20">
        <f t="shared" si="19"/>
        <v>31.74</v>
      </c>
      <c r="BH5" s="21">
        <f t="shared" si="20"/>
        <v>0.18994915526519249</v>
      </c>
      <c r="BI5" s="21">
        <f t="shared" si="21"/>
        <v>0.19641965682171478</v>
      </c>
      <c r="BJ5" s="21">
        <f t="shared" si="22"/>
        <v>0.12642</v>
      </c>
      <c r="BK5" s="21">
        <f t="shared" si="23"/>
        <v>0.16738400000000001</v>
      </c>
      <c r="BL5" s="21">
        <f t="shared" si="24"/>
        <v>0.44973971386062889</v>
      </c>
      <c r="BM5" s="21">
        <f t="shared" si="25"/>
        <v>9.8000000000000004E-2</v>
      </c>
      <c r="BN5" s="21">
        <f t="shared" si="26"/>
        <v>0.38498252737056093</v>
      </c>
    </row>
    <row r="6" spans="1:66" x14ac:dyDescent="0.2">
      <c r="A6" t="s">
        <v>1014</v>
      </c>
      <c r="B6" t="s">
        <v>1015</v>
      </c>
      <c r="C6" t="s">
        <v>32</v>
      </c>
      <c r="D6" t="s">
        <v>1005</v>
      </c>
      <c r="E6" t="s">
        <v>1009</v>
      </c>
      <c r="F6" s="8">
        <v>0.34500000000000031</v>
      </c>
      <c r="G6" s="2">
        <f t="shared" si="27"/>
        <v>6.4621809049267256</v>
      </c>
      <c r="H6" s="9" t="s">
        <v>67</v>
      </c>
      <c r="I6" s="9" t="s">
        <v>67</v>
      </c>
      <c r="J6" s="9" t="s">
        <v>67</v>
      </c>
      <c r="K6" s="9" t="s">
        <v>67</v>
      </c>
      <c r="L6" s="2">
        <f t="shared" si="0"/>
        <v>6.4621809049267256</v>
      </c>
      <c r="M6">
        <v>0.98599999999999999</v>
      </c>
      <c r="N6">
        <v>861000</v>
      </c>
      <c r="O6" s="9" t="s">
        <v>67</v>
      </c>
      <c r="P6" s="9" t="s">
        <v>67</v>
      </c>
      <c r="Q6" s="9" t="s">
        <v>67</v>
      </c>
      <c r="R6" s="9" t="s">
        <v>67</v>
      </c>
      <c r="S6" s="17">
        <v>0.96799999999999997</v>
      </c>
      <c r="T6" s="17">
        <v>1040000</v>
      </c>
      <c r="U6" s="17">
        <v>0.997</v>
      </c>
      <c r="V6" s="17">
        <v>1120000</v>
      </c>
      <c r="W6" s="9" t="s">
        <v>67</v>
      </c>
      <c r="X6" s="9" t="s">
        <v>67</v>
      </c>
      <c r="Y6" s="9" t="s">
        <v>67</v>
      </c>
      <c r="Z6" s="9" t="s">
        <v>67</v>
      </c>
      <c r="AA6" s="11" t="s">
        <v>35</v>
      </c>
      <c r="AB6" s="14">
        <v>65</v>
      </c>
      <c r="AC6" s="11">
        <v>209.22720000000001</v>
      </c>
      <c r="AD6" s="13">
        <v>18.351408247145599</v>
      </c>
      <c r="AE6" s="11">
        <f t="shared" si="1"/>
        <v>229.39260308932</v>
      </c>
      <c r="AF6" s="1">
        <f t="shared" si="2"/>
        <v>109.63804089015194</v>
      </c>
      <c r="AG6" s="1">
        <f t="shared" si="3"/>
        <v>1.0963804089015194</v>
      </c>
      <c r="AH6" s="2">
        <v>0.49900000000000028</v>
      </c>
      <c r="AI6" s="2">
        <f t="shared" si="4"/>
        <v>0.54709382404185847</v>
      </c>
      <c r="AJ6" s="2">
        <f t="shared" si="5"/>
        <v>6.3018994543766098</v>
      </c>
      <c r="AK6" s="2">
        <f t="shared" si="6"/>
        <v>6.2619381877991716</v>
      </c>
      <c r="AL6" s="14">
        <v>65</v>
      </c>
      <c r="AM6" s="11">
        <v>396.55</v>
      </c>
      <c r="AN6" s="13">
        <v>21.959867551018199</v>
      </c>
      <c r="AO6" s="11">
        <f t="shared" si="7"/>
        <v>274.49834438772751</v>
      </c>
      <c r="AP6" s="1">
        <f t="shared" si="8"/>
        <v>69.22162259178603</v>
      </c>
      <c r="AQ6" s="1">
        <f t="shared" si="9"/>
        <v>0.69221622591786025</v>
      </c>
      <c r="AR6" s="2">
        <v>0.75000000000000011</v>
      </c>
      <c r="AS6" s="2">
        <f t="shared" si="10"/>
        <v>0.51916216943839522</v>
      </c>
      <c r="AT6" s="2">
        <f t="shared" si="11"/>
        <v>6.1249387366082999</v>
      </c>
      <c r="AU6" s="2">
        <f t="shared" si="12"/>
        <v>6.2846969614363815</v>
      </c>
      <c r="AV6" s="21">
        <v>0.05</v>
      </c>
      <c r="AW6" s="21" t="s">
        <v>68</v>
      </c>
      <c r="AX6" s="21" t="s">
        <v>68</v>
      </c>
      <c r="AY6" s="21">
        <f t="shared" si="13"/>
        <v>0.05</v>
      </c>
      <c r="AZ6" s="21">
        <v>7.0800000000000002E-2</v>
      </c>
      <c r="BA6" s="20">
        <f t="shared" si="14"/>
        <v>3.2113181887123896</v>
      </c>
      <c r="BB6" s="20">
        <f t="shared" si="15"/>
        <v>31.74</v>
      </c>
      <c r="BC6" s="21">
        <f t="shared" si="16"/>
        <v>0.13854879990276017</v>
      </c>
      <c r="BD6" s="21">
        <f t="shared" si="17"/>
        <v>0.15559052013055</v>
      </c>
      <c r="BE6" s="21">
        <v>6.3500000000000001E-2</v>
      </c>
      <c r="BF6" s="20">
        <f t="shared" si="18"/>
        <v>2.8249480990607929</v>
      </c>
      <c r="BG6" s="20">
        <f t="shared" si="19"/>
        <v>31.74</v>
      </c>
      <c r="BH6" s="21">
        <f t="shared" si="20"/>
        <v>0.13838996104080556</v>
      </c>
      <c r="BI6" s="21">
        <f t="shared" si="21"/>
        <v>0.15226303332350791</v>
      </c>
      <c r="BJ6" s="21">
        <f t="shared" si="22"/>
        <v>9.8000000000000004E-2</v>
      </c>
      <c r="BK6" s="21">
        <f t="shared" si="23"/>
        <v>0.138768</v>
      </c>
      <c r="BL6" s="21">
        <f t="shared" si="24"/>
        <v>0.30495741945587801</v>
      </c>
      <c r="BM6" s="21">
        <f t="shared" si="25"/>
        <v>0.12446</v>
      </c>
      <c r="BN6" s="21">
        <f t="shared" si="26"/>
        <v>0.29843554531407551</v>
      </c>
    </row>
    <row r="7" spans="1:66" x14ac:dyDescent="0.2">
      <c r="A7" t="s">
        <v>1016</v>
      </c>
      <c r="B7" t="s">
        <v>1017</v>
      </c>
      <c r="C7" t="s">
        <v>32</v>
      </c>
      <c r="D7" t="s">
        <v>1005</v>
      </c>
      <c r="E7" t="s">
        <v>1009</v>
      </c>
      <c r="F7" s="8">
        <v>0.65099999999999969</v>
      </c>
      <c r="G7" s="2">
        <f t="shared" si="27"/>
        <v>6.1864190114318083</v>
      </c>
      <c r="H7" s="9" t="s">
        <v>67</v>
      </c>
      <c r="I7" s="9" t="s">
        <v>67</v>
      </c>
      <c r="J7" s="8">
        <v>0.62499999999999967</v>
      </c>
      <c r="K7" s="2">
        <f t="shared" ref="K7:K21" si="28">IF(J7=0, 0, -LOG10(J7*10^-6))</f>
        <v>6.204119982655925</v>
      </c>
      <c r="L7" s="2">
        <f t="shared" si="0"/>
        <v>6.1952694970438671</v>
      </c>
      <c r="M7">
        <v>1.1399999999999999</v>
      </c>
      <c r="N7">
        <v>1050000</v>
      </c>
      <c r="O7" s="9" t="s">
        <v>67</v>
      </c>
      <c r="P7" s="9" t="s">
        <v>67</v>
      </c>
      <c r="Q7">
        <v>1.22</v>
      </c>
      <c r="R7">
        <v>607000</v>
      </c>
      <c r="S7" s="17">
        <v>1.1499999999999999</v>
      </c>
      <c r="T7" s="17">
        <v>1200000</v>
      </c>
      <c r="U7" s="17">
        <v>1.68</v>
      </c>
      <c r="V7" s="17">
        <v>1770000</v>
      </c>
      <c r="W7" s="9" t="s">
        <v>67</v>
      </c>
      <c r="X7" s="9" t="s">
        <v>67</v>
      </c>
      <c r="Y7" s="9" t="s">
        <v>67</v>
      </c>
      <c r="Z7" s="9" t="s">
        <v>67</v>
      </c>
      <c r="AA7" s="11" t="s">
        <v>35</v>
      </c>
      <c r="AB7" s="14">
        <v>65</v>
      </c>
      <c r="AC7" s="11">
        <v>178.72207499999999</v>
      </c>
      <c r="AD7" s="13">
        <v>5.3006851684331373</v>
      </c>
      <c r="AE7" s="11">
        <f t="shared" si="1"/>
        <v>66.258564605414222</v>
      </c>
      <c r="AF7" s="1">
        <f t="shared" si="2"/>
        <v>37.073520215907422</v>
      </c>
      <c r="AG7" s="1">
        <f t="shared" si="3"/>
        <v>0.37073520215907424</v>
      </c>
      <c r="AH7" s="2">
        <v>3.5500000000000012</v>
      </c>
      <c r="AI7" s="2">
        <f t="shared" si="4"/>
        <v>1.3161099676647139</v>
      </c>
      <c r="AJ7" s="2">
        <f t="shared" si="5"/>
        <v>5.4497716469449058</v>
      </c>
      <c r="AK7" s="2">
        <f t="shared" si="6"/>
        <v>5.8807078216987421</v>
      </c>
      <c r="AL7" s="14">
        <v>65</v>
      </c>
      <c r="AM7" s="11">
        <v>399.34</v>
      </c>
      <c r="AN7" s="13">
        <v>8.3679803228534997</v>
      </c>
      <c r="AO7" s="11">
        <f t="shared" si="7"/>
        <v>104.59975403566875</v>
      </c>
      <c r="AP7" s="1">
        <f t="shared" si="8"/>
        <v>26.193157218327428</v>
      </c>
      <c r="AQ7" s="1">
        <f t="shared" si="9"/>
        <v>0.26193157218327429</v>
      </c>
      <c r="AR7" s="2">
        <v>6.8299999999999974</v>
      </c>
      <c r="AS7" s="2">
        <f t="shared" si="10"/>
        <v>1.7889926380117627</v>
      </c>
      <c r="AT7" s="2">
        <f t="shared" si="11"/>
        <v>5.1655792963184677</v>
      </c>
      <c r="AU7" s="2">
        <f t="shared" si="12"/>
        <v>5.7473914466195728</v>
      </c>
      <c r="AV7" s="21">
        <v>5.1299999999999998E-2</v>
      </c>
      <c r="AW7" s="21" t="s">
        <v>68</v>
      </c>
      <c r="AX7" s="21">
        <v>5.2999999999999999E-2</v>
      </c>
      <c r="AY7" s="21">
        <f t="shared" si="13"/>
        <v>3.6880516536512878E-2</v>
      </c>
      <c r="AZ7" s="21">
        <v>6.4299999999999996E-2</v>
      </c>
      <c r="BA7" s="20">
        <f t="shared" si="14"/>
        <v>9.0004570595832938</v>
      </c>
      <c r="BB7" s="20">
        <f t="shared" si="15"/>
        <v>31.74</v>
      </c>
      <c r="BC7" s="21">
        <f t="shared" si="16"/>
        <v>0.1432800504158849</v>
      </c>
      <c r="BD7" s="21">
        <f t="shared" si="17"/>
        <v>0.15704669002299448</v>
      </c>
      <c r="BE7" s="21">
        <v>6.3799999999999996E-2</v>
      </c>
      <c r="BF7" s="20">
        <f t="shared" si="18"/>
        <v>6.0165608826964538</v>
      </c>
      <c r="BG7" s="20">
        <f t="shared" si="19"/>
        <v>31.74</v>
      </c>
      <c r="BH7" s="21">
        <f t="shared" si="20"/>
        <v>0.14029974518444677</v>
      </c>
      <c r="BI7" s="21">
        <f t="shared" si="21"/>
        <v>0.15412481467570591</v>
      </c>
      <c r="BJ7" s="21">
        <f t="shared" si="22"/>
        <v>7.2285812411565245E-2</v>
      </c>
      <c r="BK7" s="21">
        <f t="shared" si="23"/>
        <v>0.126028</v>
      </c>
      <c r="BL7" s="21">
        <f t="shared" si="24"/>
        <v>0.30781151244506916</v>
      </c>
      <c r="BM7" s="21">
        <f t="shared" si="25"/>
        <v>0.12504799999999999</v>
      </c>
      <c r="BN7" s="21">
        <f t="shared" si="26"/>
        <v>0.30208463676438357</v>
      </c>
    </row>
    <row r="8" spans="1:66" x14ac:dyDescent="0.2">
      <c r="A8" t="s">
        <v>1018</v>
      </c>
      <c r="B8" t="s">
        <v>1019</v>
      </c>
      <c r="C8" t="s">
        <v>32</v>
      </c>
      <c r="D8" t="s">
        <v>1005</v>
      </c>
      <c r="E8" t="s">
        <v>1009</v>
      </c>
      <c r="F8" s="8">
        <v>0.115</v>
      </c>
      <c r="G8" s="2">
        <f t="shared" si="27"/>
        <v>6.9393021596463882</v>
      </c>
      <c r="H8" s="9" t="s">
        <v>67</v>
      </c>
      <c r="I8" s="9" t="s">
        <v>67</v>
      </c>
      <c r="J8" s="8">
        <v>0.1680000000000002</v>
      </c>
      <c r="K8" s="2">
        <f t="shared" si="28"/>
        <v>6.7746907182741367</v>
      </c>
      <c r="L8" s="2">
        <f t="shared" si="0"/>
        <v>6.8569964389602625</v>
      </c>
      <c r="M8">
        <v>0.878</v>
      </c>
      <c r="N8">
        <v>842000</v>
      </c>
      <c r="O8" s="9" t="s">
        <v>67</v>
      </c>
      <c r="P8" s="9" t="s">
        <v>67</v>
      </c>
      <c r="Q8">
        <v>0.78400000000000003</v>
      </c>
      <c r="R8">
        <v>429000</v>
      </c>
      <c r="S8" s="17">
        <v>0.877</v>
      </c>
      <c r="T8" s="17">
        <v>962000</v>
      </c>
      <c r="U8" s="17">
        <v>0.82</v>
      </c>
      <c r="V8" s="17">
        <v>952000</v>
      </c>
      <c r="W8" s="9" t="s">
        <v>67</v>
      </c>
      <c r="X8" s="9" t="s">
        <v>67</v>
      </c>
      <c r="Y8" s="9" t="s">
        <v>67</v>
      </c>
      <c r="Z8" s="9" t="s">
        <v>67</v>
      </c>
      <c r="AA8" s="11" t="s">
        <v>35</v>
      </c>
      <c r="AB8" s="14">
        <v>65</v>
      </c>
      <c r="AC8" s="11">
        <v>175.051275</v>
      </c>
      <c r="AD8" s="13">
        <v>6.6776690041421833</v>
      </c>
      <c r="AE8" s="11">
        <f t="shared" si="1"/>
        <v>83.470862551777287</v>
      </c>
      <c r="AF8" s="1">
        <f t="shared" si="2"/>
        <v>47.683664430194689</v>
      </c>
      <c r="AG8" s="1">
        <f t="shared" si="3"/>
        <v>0.47683664430194689</v>
      </c>
      <c r="AH8" s="2">
        <v>0.32899999999999979</v>
      </c>
      <c r="AI8" s="2">
        <f t="shared" si="4"/>
        <v>0.15687925597534041</v>
      </c>
      <c r="AJ8" s="2">
        <f t="shared" si="5"/>
        <v>6.482804102050026</v>
      </c>
      <c r="AK8" s="2">
        <f t="shared" si="6"/>
        <v>6.8044344790455904</v>
      </c>
      <c r="AL8" s="14">
        <v>65</v>
      </c>
      <c r="AM8" s="11">
        <v>397.73</v>
      </c>
      <c r="AN8" s="13">
        <v>8.9927918012439001</v>
      </c>
      <c r="AO8" s="11">
        <f t="shared" si="7"/>
        <v>112.40989751554875</v>
      </c>
      <c r="AP8" s="1">
        <f t="shared" si="8"/>
        <v>28.262866144255838</v>
      </c>
      <c r="AQ8" s="1">
        <f t="shared" si="9"/>
        <v>0.28262866144255838</v>
      </c>
      <c r="AR8" s="2">
        <v>0.43600000000000028</v>
      </c>
      <c r="AS8" s="2">
        <f t="shared" si="10"/>
        <v>0.12322609638895553</v>
      </c>
      <c r="AT8" s="2">
        <f t="shared" si="11"/>
        <v>6.3605135107314137</v>
      </c>
      <c r="AU8" s="2">
        <f t="shared" si="12"/>
        <v>6.9092973090745966</v>
      </c>
      <c r="AV8" s="21">
        <v>5.6099999999999997E-2</v>
      </c>
      <c r="AW8" s="21" t="s">
        <v>68</v>
      </c>
      <c r="AX8" s="21">
        <v>4.99E-2</v>
      </c>
      <c r="AY8" s="21">
        <f t="shared" si="13"/>
        <v>3.7540711234605027E-2</v>
      </c>
      <c r="AZ8" s="21">
        <v>7.5200000000000003E-2</v>
      </c>
      <c r="BA8" s="20">
        <f t="shared" si="14"/>
        <v>7.3218357054286294</v>
      </c>
      <c r="BB8" s="20">
        <f t="shared" si="15"/>
        <v>31.74</v>
      </c>
      <c r="BC8" s="21">
        <f t="shared" si="16"/>
        <v>0.14146517810748857</v>
      </c>
      <c r="BD8" s="21">
        <f t="shared" si="17"/>
        <v>0.16021060082586128</v>
      </c>
      <c r="BE8" s="21">
        <v>4.2099999999999999E-2</v>
      </c>
      <c r="BF8" s="20">
        <f t="shared" si="18"/>
        <v>5.6582874455106822</v>
      </c>
      <c r="BG8" s="20">
        <f t="shared" si="19"/>
        <v>31.74</v>
      </c>
      <c r="BH8" s="21">
        <f t="shared" si="20"/>
        <v>0.14001830674518934</v>
      </c>
      <c r="BI8" s="21">
        <f t="shared" si="21"/>
        <v>0.14621058861720629</v>
      </c>
      <c r="BJ8" s="21">
        <f t="shared" si="22"/>
        <v>7.3579794019825853E-2</v>
      </c>
      <c r="BK8" s="21">
        <f t="shared" si="23"/>
        <v>0.147392</v>
      </c>
      <c r="BL8" s="21">
        <f t="shared" si="24"/>
        <v>0.31401277761868812</v>
      </c>
      <c r="BM8" s="21">
        <f t="shared" si="25"/>
        <v>8.2515999999999992E-2</v>
      </c>
      <c r="BN8" s="21">
        <f t="shared" si="26"/>
        <v>0.28657275368972435</v>
      </c>
    </row>
    <row r="9" spans="1:66" x14ac:dyDescent="0.2">
      <c r="A9" t="s">
        <v>1020</v>
      </c>
      <c r="B9" t="s">
        <v>1021</v>
      </c>
      <c r="C9" t="s">
        <v>32</v>
      </c>
      <c r="D9" t="s">
        <v>1005</v>
      </c>
      <c r="E9" t="s">
        <v>1009</v>
      </c>
      <c r="F9" s="8">
        <v>0.35599999999999982</v>
      </c>
      <c r="G9" s="2">
        <f t="shared" si="27"/>
        <v>6.4485500020271251</v>
      </c>
      <c r="H9" s="9" t="s">
        <v>67</v>
      </c>
      <c r="I9" s="9" t="s">
        <v>67</v>
      </c>
      <c r="J9" s="8">
        <v>0.64200000000000046</v>
      </c>
      <c r="K9" s="2">
        <f t="shared" si="28"/>
        <v>6.1924649719311464</v>
      </c>
      <c r="L9" s="2">
        <f t="shared" si="0"/>
        <v>6.3205074869791353</v>
      </c>
      <c r="M9">
        <v>0.98199999999999998</v>
      </c>
      <c r="N9">
        <v>880000</v>
      </c>
      <c r="O9" s="9" t="s">
        <v>67</v>
      </c>
      <c r="P9" s="9" t="s">
        <v>67</v>
      </c>
      <c r="Q9">
        <v>1</v>
      </c>
      <c r="R9">
        <v>517000</v>
      </c>
      <c r="S9" s="17">
        <v>0.63400000000000001</v>
      </c>
      <c r="T9" s="17">
        <v>748000</v>
      </c>
      <c r="U9" s="17">
        <v>1.08</v>
      </c>
      <c r="V9" s="17">
        <v>1200000</v>
      </c>
      <c r="W9" s="9" t="s">
        <v>67</v>
      </c>
      <c r="X9" s="9" t="s">
        <v>67</v>
      </c>
      <c r="Y9" s="9" t="s">
        <v>67</v>
      </c>
      <c r="Z9" s="9" t="s">
        <v>67</v>
      </c>
      <c r="AA9" s="11" t="s">
        <v>35</v>
      </c>
      <c r="AB9" s="14">
        <v>65</v>
      </c>
      <c r="AC9" s="11">
        <v>199.777725</v>
      </c>
      <c r="AD9" s="13">
        <v>16.889466929393979</v>
      </c>
      <c r="AE9" s="11">
        <f t="shared" si="1"/>
        <v>211.11833661742475</v>
      </c>
      <c r="AF9" s="1">
        <f t="shared" si="2"/>
        <v>105.67661465632605</v>
      </c>
      <c r="AG9" s="1">
        <f t="shared" si="3"/>
        <v>1.0567661465632605</v>
      </c>
      <c r="AH9" s="2">
        <v>0.53999999999999959</v>
      </c>
      <c r="AI9" s="2">
        <f t="shared" si="4"/>
        <v>0.5706537191441603</v>
      </c>
      <c r="AJ9" s="2">
        <f t="shared" si="5"/>
        <v>6.2676062401770318</v>
      </c>
      <c r="AK9" s="2">
        <f t="shared" si="6"/>
        <v>6.2436273479440105</v>
      </c>
      <c r="AL9" s="14">
        <v>65</v>
      </c>
      <c r="AM9" s="11">
        <v>401.23</v>
      </c>
      <c r="AN9" s="13">
        <v>20.715423886574101</v>
      </c>
      <c r="AO9" s="11">
        <f t="shared" si="7"/>
        <v>258.94279858217624</v>
      </c>
      <c r="AP9" s="1">
        <f t="shared" si="8"/>
        <v>64.537247609145936</v>
      </c>
      <c r="AQ9" s="1">
        <f t="shared" si="9"/>
        <v>0.64537247609145931</v>
      </c>
      <c r="AR9" s="2">
        <v>0.5990000000000002</v>
      </c>
      <c r="AS9" s="2">
        <f t="shared" si="10"/>
        <v>0.38657811317878427</v>
      </c>
      <c r="AT9" s="2">
        <f t="shared" si="11"/>
        <v>6.2225731776106885</v>
      </c>
      <c r="AU9" s="2">
        <f t="shared" si="12"/>
        <v>6.412762737981434</v>
      </c>
      <c r="AV9" s="21">
        <v>4.87E-2</v>
      </c>
      <c r="AW9" s="21" t="s">
        <v>68</v>
      </c>
      <c r="AX9" s="21">
        <v>5.6800000000000003E-2</v>
      </c>
      <c r="AY9" s="21">
        <f t="shared" si="13"/>
        <v>3.740965784393116E-2</v>
      </c>
      <c r="AZ9" s="21">
        <v>5.4600000000000003E-2</v>
      </c>
      <c r="BA9" s="20">
        <f t="shared" si="14"/>
        <v>3.4148467681299568</v>
      </c>
      <c r="BB9" s="20">
        <f t="shared" si="15"/>
        <v>31.74</v>
      </c>
      <c r="BC9" s="21">
        <f t="shared" si="16"/>
        <v>0.13864056545935996</v>
      </c>
      <c r="BD9" s="21">
        <f t="shared" si="17"/>
        <v>0.14900458513378398</v>
      </c>
      <c r="BE9" s="21">
        <v>4.7300000000000002E-2</v>
      </c>
      <c r="BF9" s="20">
        <f t="shared" si="18"/>
        <v>2.9429889958450715</v>
      </c>
      <c r="BG9" s="20">
        <f t="shared" si="19"/>
        <v>31.74</v>
      </c>
      <c r="BH9" s="21">
        <f t="shared" si="20"/>
        <v>0.1384363499620041</v>
      </c>
      <c r="BI9" s="21">
        <f t="shared" si="21"/>
        <v>0.14629392670511812</v>
      </c>
      <c r="BJ9" s="21">
        <f t="shared" si="22"/>
        <v>7.3322929374105075E-2</v>
      </c>
      <c r="BK9" s="21">
        <f t="shared" si="23"/>
        <v>0.107016</v>
      </c>
      <c r="BL9" s="21">
        <f t="shared" si="24"/>
        <v>0.29204898686221659</v>
      </c>
      <c r="BM9" s="21">
        <f t="shared" si="25"/>
        <v>9.2707999999999999E-2</v>
      </c>
      <c r="BN9" s="21">
        <f t="shared" si="26"/>
        <v>0.28673609634203151</v>
      </c>
    </row>
    <row r="10" spans="1:66" x14ac:dyDescent="0.2">
      <c r="A10" t="s">
        <v>1022</v>
      </c>
      <c r="B10" t="s">
        <v>1023</v>
      </c>
      <c r="C10" t="s">
        <v>32</v>
      </c>
      <c r="D10" t="s">
        <v>1005</v>
      </c>
      <c r="E10" t="s">
        <v>1009</v>
      </c>
      <c r="F10" s="8">
        <v>0.50699999999999956</v>
      </c>
      <c r="G10" s="2">
        <f t="shared" si="27"/>
        <v>6.2949920406666644</v>
      </c>
      <c r="H10" s="9" t="s">
        <v>67</v>
      </c>
      <c r="I10" s="9" t="s">
        <v>67</v>
      </c>
      <c r="J10" s="10">
        <v>0.77500000000000047</v>
      </c>
      <c r="K10" s="2">
        <f t="shared" si="28"/>
        <v>6.1106982974936894</v>
      </c>
      <c r="L10" s="2">
        <f t="shared" si="0"/>
        <v>6.2028451690801774</v>
      </c>
      <c r="M10">
        <v>0.71599999999999997</v>
      </c>
      <c r="N10">
        <v>642000</v>
      </c>
      <c r="O10" s="9" t="s">
        <v>67</v>
      </c>
      <c r="P10" s="9" t="s">
        <v>67</v>
      </c>
      <c r="Q10">
        <v>0.53300000000000003</v>
      </c>
      <c r="R10">
        <v>327000</v>
      </c>
      <c r="S10" s="17">
        <v>1.22</v>
      </c>
      <c r="T10" s="17">
        <v>1270000</v>
      </c>
      <c r="U10" s="17">
        <v>0.83399999999999996</v>
      </c>
      <c r="V10" s="17">
        <v>965000</v>
      </c>
      <c r="W10" s="9" t="s">
        <v>67</v>
      </c>
      <c r="X10" s="9" t="s">
        <v>67</v>
      </c>
      <c r="Y10" s="9" t="s">
        <v>67</v>
      </c>
      <c r="Z10" s="9" t="s">
        <v>67</v>
      </c>
      <c r="AA10" s="11" t="s">
        <v>35</v>
      </c>
      <c r="AB10" s="14">
        <v>65</v>
      </c>
      <c r="AC10" s="11">
        <v>199.2396</v>
      </c>
      <c r="AD10" s="13">
        <v>16.842927549651719</v>
      </c>
      <c r="AE10" s="11">
        <f t="shared" si="1"/>
        <v>210.5365943706465</v>
      </c>
      <c r="AF10" s="1">
        <f t="shared" si="2"/>
        <v>105.6700547334197</v>
      </c>
      <c r="AG10" s="1">
        <f t="shared" si="3"/>
        <v>1.056700547334197</v>
      </c>
      <c r="AH10" s="2">
        <v>2.600000000000001</v>
      </c>
      <c r="AI10" s="2">
        <f t="shared" si="4"/>
        <v>2.7474214230689133</v>
      </c>
      <c r="AJ10" s="2">
        <f t="shared" si="5"/>
        <v>5.5850266520291818</v>
      </c>
      <c r="AK10" s="2">
        <f t="shared" si="6"/>
        <v>5.561074719656272</v>
      </c>
      <c r="AL10" s="14">
        <v>65</v>
      </c>
      <c r="AM10" s="11">
        <v>400.15</v>
      </c>
      <c r="AN10" s="13">
        <v>4.3423274183730003</v>
      </c>
      <c r="AO10" s="11">
        <f t="shared" si="7"/>
        <v>54.279092729662501</v>
      </c>
      <c r="AP10" s="1">
        <f t="shared" si="8"/>
        <v>13.564686425006247</v>
      </c>
      <c r="AQ10" s="1">
        <f t="shared" si="9"/>
        <v>0.13564686425006248</v>
      </c>
      <c r="AR10" s="2">
        <v>10.3</v>
      </c>
      <c r="AS10" s="2">
        <f t="shared" si="10"/>
        <v>1.3971627017756436</v>
      </c>
      <c r="AT10" s="2">
        <f t="shared" si="11"/>
        <v>4.987162775294828</v>
      </c>
      <c r="AU10" s="2">
        <f t="shared" si="12"/>
        <v>5.8547530166711175</v>
      </c>
      <c r="AV10" s="21">
        <v>4.6899999999999997E-2</v>
      </c>
      <c r="AW10" s="21" t="s">
        <v>68</v>
      </c>
      <c r="AX10" s="21">
        <v>8.2600000000000007E-2</v>
      </c>
      <c r="AY10" s="21">
        <f t="shared" si="13"/>
        <v>4.749307844307421E-2</v>
      </c>
      <c r="AZ10" s="21">
        <v>0.114</v>
      </c>
      <c r="BA10" s="20">
        <f t="shared" si="14"/>
        <v>3.4219061693875337</v>
      </c>
      <c r="BB10" s="20">
        <f t="shared" si="15"/>
        <v>31.74</v>
      </c>
      <c r="BC10" s="21">
        <f t="shared" si="16"/>
        <v>0.1386438483840329</v>
      </c>
      <c r="BD10" s="21">
        <f t="shared" si="17"/>
        <v>0.17949405754713638</v>
      </c>
      <c r="BE10" s="21">
        <v>0.107</v>
      </c>
      <c r="BF10" s="20">
        <f t="shared" si="18"/>
        <v>10.797067347207918</v>
      </c>
      <c r="BG10" s="20">
        <f t="shared" si="19"/>
        <v>31.74</v>
      </c>
      <c r="BH10" s="21">
        <f t="shared" si="20"/>
        <v>0.14560231850809549</v>
      </c>
      <c r="BI10" s="21">
        <f t="shared" si="21"/>
        <v>0.18069044013154897</v>
      </c>
      <c r="BJ10" s="21">
        <f t="shared" si="22"/>
        <v>9.3086433748425457E-2</v>
      </c>
      <c r="BK10" s="21">
        <f t="shared" si="23"/>
        <v>0.22344</v>
      </c>
      <c r="BL10" s="21">
        <f t="shared" si="24"/>
        <v>0.35180835279238731</v>
      </c>
      <c r="BM10" s="21">
        <f t="shared" si="25"/>
        <v>0.20971999999999999</v>
      </c>
      <c r="BN10" s="21">
        <f t="shared" si="26"/>
        <v>0.35415326265783598</v>
      </c>
    </row>
    <row r="11" spans="1:66" x14ac:dyDescent="0.2">
      <c r="A11" t="s">
        <v>1024</v>
      </c>
      <c r="B11" t="s">
        <v>1025</v>
      </c>
      <c r="C11" t="s">
        <v>32</v>
      </c>
      <c r="D11" t="s">
        <v>1005</v>
      </c>
      <c r="E11" t="s">
        <v>1009</v>
      </c>
      <c r="F11" s="8">
        <v>0.4589999999999998</v>
      </c>
      <c r="G11" s="2">
        <f t="shared" si="27"/>
        <v>6.338187314462739</v>
      </c>
      <c r="H11" s="9" t="s">
        <v>67</v>
      </c>
      <c r="I11" s="9" t="s">
        <v>67</v>
      </c>
      <c r="J11" s="10">
        <v>0.80999999999999961</v>
      </c>
      <c r="K11" s="2">
        <f t="shared" si="28"/>
        <v>6.0915149811213505</v>
      </c>
      <c r="L11" s="2">
        <f t="shared" si="0"/>
        <v>6.2148511477920447</v>
      </c>
      <c r="M11">
        <v>0.86499999999999999</v>
      </c>
      <c r="N11">
        <v>890000</v>
      </c>
      <c r="O11" s="9" t="s">
        <v>67</v>
      </c>
      <c r="P11" s="9" t="s">
        <v>67</v>
      </c>
      <c r="Q11">
        <v>0.95199999999999996</v>
      </c>
      <c r="R11">
        <v>450000</v>
      </c>
      <c r="S11" s="17">
        <v>0.81299999999999994</v>
      </c>
      <c r="T11" s="17">
        <v>905000</v>
      </c>
      <c r="U11" s="17">
        <v>1.3</v>
      </c>
      <c r="V11" s="17">
        <v>1410000</v>
      </c>
      <c r="W11" s="9" t="s">
        <v>67</v>
      </c>
      <c r="X11" s="9" t="s">
        <v>67</v>
      </c>
      <c r="Y11" s="9" t="s">
        <v>67</v>
      </c>
      <c r="Z11" s="9" t="s">
        <v>67</v>
      </c>
      <c r="AA11" s="11" t="s">
        <v>35</v>
      </c>
      <c r="AB11" s="14">
        <v>65</v>
      </c>
      <c r="AC11" s="11">
        <v>240.62377499999999</v>
      </c>
      <c r="AD11" s="13">
        <v>8.2742091747401982</v>
      </c>
      <c r="AE11" s="11">
        <f t="shared" si="1"/>
        <v>103.42761468425248</v>
      </c>
      <c r="AF11" s="1">
        <f t="shared" si="2"/>
        <v>42.983123627020014</v>
      </c>
      <c r="AG11" s="1">
        <f t="shared" si="3"/>
        <v>0.42983123627020015</v>
      </c>
      <c r="AH11" s="2">
        <v>3.8</v>
      </c>
      <c r="AI11" s="2">
        <f t="shared" si="4"/>
        <v>1.6333586978267605</v>
      </c>
      <c r="AJ11" s="2">
        <f t="shared" si="5"/>
        <v>5.4202164033831899</v>
      </c>
      <c r="AK11" s="2">
        <f t="shared" si="6"/>
        <v>5.786918430462169</v>
      </c>
      <c r="AL11" s="14">
        <v>65</v>
      </c>
      <c r="AM11" s="11">
        <v>401.56</v>
      </c>
      <c r="AN11" s="13">
        <v>9.3658094711126001</v>
      </c>
      <c r="AO11" s="11">
        <f t="shared" si="7"/>
        <v>117.0726183889075</v>
      </c>
      <c r="AP11" s="1">
        <f t="shared" si="8"/>
        <v>29.15445223351616</v>
      </c>
      <c r="AQ11" s="1">
        <f t="shared" si="9"/>
        <v>0.29154452233516159</v>
      </c>
      <c r="AR11" s="2">
        <v>6.8499999999999979</v>
      </c>
      <c r="AS11" s="2">
        <f t="shared" si="10"/>
        <v>1.9970799779958563</v>
      </c>
      <c r="AT11" s="2">
        <f t="shared" si="11"/>
        <v>5.1643094285075746</v>
      </c>
      <c r="AU11" s="2">
        <f t="shared" si="12"/>
        <v>5.6996045423868038</v>
      </c>
      <c r="AV11" s="21">
        <v>5.0900000000000001E-2</v>
      </c>
      <c r="AW11" s="21" t="s">
        <v>68</v>
      </c>
      <c r="AX11" s="21">
        <v>6.7199999999999996E-2</v>
      </c>
      <c r="AY11" s="21">
        <f t="shared" si="13"/>
        <v>4.2150474493177416E-2</v>
      </c>
      <c r="AZ11" s="21">
        <v>4.8399999999999999E-2</v>
      </c>
      <c r="BA11" s="20">
        <f t="shared" si="14"/>
        <v>6.0749998977219315</v>
      </c>
      <c r="BB11" s="20">
        <f t="shared" si="15"/>
        <v>31.74</v>
      </c>
      <c r="BC11" s="21">
        <f t="shared" si="16"/>
        <v>0.14034723423654555</v>
      </c>
      <c r="BD11" s="21">
        <f t="shared" si="17"/>
        <v>0.14845843242418999</v>
      </c>
      <c r="BE11" s="21">
        <v>6.3700000000000007E-2</v>
      </c>
      <c r="BF11" s="20">
        <f t="shared" si="18"/>
        <v>5.4671831946923053</v>
      </c>
      <c r="BG11" s="20">
        <f t="shared" si="19"/>
        <v>31.74</v>
      </c>
      <c r="BH11" s="21">
        <f t="shared" si="20"/>
        <v>0.13987503359935088</v>
      </c>
      <c r="BI11" s="21">
        <f t="shared" si="21"/>
        <v>0.15369682828353856</v>
      </c>
      <c r="BJ11" s="21">
        <f t="shared" si="22"/>
        <v>8.2614930006627729E-2</v>
      </c>
      <c r="BK11" s="21">
        <f t="shared" si="23"/>
        <v>9.486399999999999E-2</v>
      </c>
      <c r="BL11" s="21">
        <f t="shared" si="24"/>
        <v>0.2909785275514124</v>
      </c>
      <c r="BM11" s="21">
        <f t="shared" si="25"/>
        <v>0.124852</v>
      </c>
      <c r="BN11" s="21">
        <f t="shared" si="26"/>
        <v>0.30124578343573555</v>
      </c>
    </row>
    <row r="12" spans="1:66" x14ac:dyDescent="0.2">
      <c r="A12" t="s">
        <v>1026</v>
      </c>
      <c r="B12" t="s">
        <v>1027</v>
      </c>
      <c r="C12" t="s">
        <v>32</v>
      </c>
      <c r="D12" t="s">
        <v>1005</v>
      </c>
      <c r="E12" t="s">
        <v>1009</v>
      </c>
      <c r="F12" s="8">
        <v>0.21800000000000011</v>
      </c>
      <c r="G12" s="2">
        <f t="shared" si="27"/>
        <v>6.6615435063953949</v>
      </c>
      <c r="H12" s="9" t="s">
        <v>67</v>
      </c>
      <c r="I12" s="9" t="s">
        <v>67</v>
      </c>
      <c r="J12" s="10">
        <v>0.19600000000000009</v>
      </c>
      <c r="K12" s="2">
        <f t="shared" si="28"/>
        <v>6.7077439286435236</v>
      </c>
      <c r="L12" s="2">
        <f t="shared" si="0"/>
        <v>6.6846437175194593</v>
      </c>
      <c r="M12">
        <v>0.78500000000000003</v>
      </c>
      <c r="N12">
        <v>820000</v>
      </c>
      <c r="O12" s="9" t="s">
        <v>67</v>
      </c>
      <c r="P12" s="9" t="s">
        <v>67</v>
      </c>
      <c r="Q12">
        <v>0.74399999999999999</v>
      </c>
      <c r="R12">
        <v>374000</v>
      </c>
      <c r="S12" s="17">
        <v>0.69899999999999995</v>
      </c>
      <c r="T12" s="17">
        <v>805000</v>
      </c>
      <c r="U12" s="17">
        <v>0.95799999999999996</v>
      </c>
      <c r="V12" s="17">
        <v>1080000</v>
      </c>
      <c r="W12" s="9" t="s">
        <v>67</v>
      </c>
      <c r="X12" s="9" t="s">
        <v>67</v>
      </c>
      <c r="Y12" s="9" t="s">
        <v>67</v>
      </c>
      <c r="Z12" s="9" t="s">
        <v>67</v>
      </c>
      <c r="AA12" s="11" t="s">
        <v>35</v>
      </c>
      <c r="AB12" s="14">
        <v>65</v>
      </c>
      <c r="AC12" s="11">
        <v>175.581525</v>
      </c>
      <c r="AD12" s="13">
        <v>14.980799287645089</v>
      </c>
      <c r="AE12" s="11">
        <f t="shared" si="1"/>
        <v>187.25999109556361</v>
      </c>
      <c r="AF12" s="1">
        <f t="shared" si="2"/>
        <v>106.65130690462085</v>
      </c>
      <c r="AG12" s="1">
        <f t="shared" si="3"/>
        <v>1.0665130690462086</v>
      </c>
      <c r="AH12" s="2">
        <v>0.18099999999999999</v>
      </c>
      <c r="AI12" s="2">
        <f t="shared" si="4"/>
        <v>0.19303886549736374</v>
      </c>
      <c r="AJ12" s="2">
        <f t="shared" si="5"/>
        <v>6.7423214251308154</v>
      </c>
      <c r="AK12" s="2">
        <f t="shared" si="6"/>
        <v>6.714355243470191</v>
      </c>
      <c r="AL12" s="14">
        <v>65</v>
      </c>
      <c r="AM12" s="11">
        <v>398.94</v>
      </c>
      <c r="AN12" s="13">
        <v>29.048140542724799</v>
      </c>
      <c r="AO12" s="11">
        <f t="shared" si="7"/>
        <v>363.10175678406</v>
      </c>
      <c r="AP12" s="1">
        <f t="shared" si="8"/>
        <v>91.016633274191605</v>
      </c>
      <c r="AQ12" s="1">
        <f t="shared" si="9"/>
        <v>0.91016633274191605</v>
      </c>
      <c r="AR12" s="2">
        <v>0.35500000000000009</v>
      </c>
      <c r="AS12" s="2">
        <f t="shared" si="10"/>
        <v>0.32310904812338026</v>
      </c>
      <c r="AT12" s="2">
        <f t="shared" si="11"/>
        <v>6.4497716469449058</v>
      </c>
      <c r="AU12" s="2">
        <f t="shared" si="12"/>
        <v>6.4906508801283325</v>
      </c>
      <c r="AV12" s="21">
        <v>4.7E-2</v>
      </c>
      <c r="AW12" s="21" t="s">
        <v>68</v>
      </c>
      <c r="AX12" s="21">
        <v>6.3899999999999998E-2</v>
      </c>
      <c r="AY12" s="21">
        <f t="shared" si="13"/>
        <v>3.966172588277015E-2</v>
      </c>
      <c r="AZ12" s="21">
        <v>7.7600000000000002E-2</v>
      </c>
      <c r="BA12" s="20">
        <f t="shared" si="14"/>
        <v>3.7403536561354578</v>
      </c>
      <c r="BB12" s="20">
        <f t="shared" si="15"/>
        <v>31.74</v>
      </c>
      <c r="BC12" s="21">
        <f t="shared" si="16"/>
        <v>0.13879890244256343</v>
      </c>
      <c r="BD12" s="21">
        <f t="shared" si="17"/>
        <v>0.15901853765916804</v>
      </c>
      <c r="BE12" s="21">
        <v>7.3400000000000007E-2</v>
      </c>
      <c r="BF12" s="20">
        <f t="shared" si="18"/>
        <v>2.3454651345594324</v>
      </c>
      <c r="BG12" s="20">
        <f t="shared" si="19"/>
        <v>31.74</v>
      </c>
      <c r="BH12" s="21">
        <f t="shared" si="20"/>
        <v>0.13822091780304166</v>
      </c>
      <c r="BI12" s="21">
        <f t="shared" si="21"/>
        <v>0.15650106107728215</v>
      </c>
      <c r="BJ12" s="21">
        <f t="shared" si="22"/>
        <v>7.7736982730229498E-2</v>
      </c>
      <c r="BK12" s="21">
        <f t="shared" si="23"/>
        <v>0.15209600000000001</v>
      </c>
      <c r="BL12" s="21">
        <f t="shared" si="24"/>
        <v>0.31167633381196935</v>
      </c>
      <c r="BM12" s="21">
        <f t="shared" si="25"/>
        <v>0.14386400000000002</v>
      </c>
      <c r="BN12" s="21">
        <f t="shared" si="26"/>
        <v>0.30674207971147299</v>
      </c>
    </row>
    <row r="13" spans="1:66" x14ac:dyDescent="0.2">
      <c r="A13" t="s">
        <v>1028</v>
      </c>
      <c r="B13" t="s">
        <v>1029</v>
      </c>
      <c r="C13" t="s">
        <v>32</v>
      </c>
      <c r="D13" t="s">
        <v>1005</v>
      </c>
      <c r="E13" t="s">
        <v>1009</v>
      </c>
      <c r="F13" s="8">
        <v>0.9779999999999992</v>
      </c>
      <c r="G13" s="2">
        <f t="shared" si="27"/>
        <v>6.0096611452123989</v>
      </c>
      <c r="H13" s="9" t="s">
        <v>67</v>
      </c>
      <c r="I13" s="9" t="s">
        <v>67</v>
      </c>
      <c r="J13" s="10">
        <v>1.889999999999999</v>
      </c>
      <c r="K13" s="2">
        <f t="shared" si="28"/>
        <v>5.7235381958267562</v>
      </c>
      <c r="L13" s="2">
        <f t="shared" si="0"/>
        <v>5.8665996705195775</v>
      </c>
      <c r="M13">
        <v>0.57399999999999995</v>
      </c>
      <c r="N13">
        <v>638000</v>
      </c>
      <c r="O13" s="9" t="s">
        <v>67</v>
      </c>
      <c r="P13" s="9" t="s">
        <v>67</v>
      </c>
      <c r="Q13">
        <v>0.622</v>
      </c>
      <c r="R13">
        <v>330000</v>
      </c>
      <c r="S13" s="17">
        <v>0.72399999999999998</v>
      </c>
      <c r="T13" s="17">
        <v>827000</v>
      </c>
      <c r="U13" s="17">
        <v>1.1299999999999999</v>
      </c>
      <c r="V13" s="17">
        <v>1250000</v>
      </c>
      <c r="W13" s="9" t="s">
        <v>67</v>
      </c>
      <c r="X13" s="9" t="s">
        <v>67</v>
      </c>
      <c r="Y13" s="9" t="s">
        <v>67</v>
      </c>
      <c r="Z13" s="9" t="s">
        <v>67</v>
      </c>
      <c r="AA13" s="11" t="s">
        <v>35</v>
      </c>
      <c r="AB13" s="14">
        <v>65</v>
      </c>
      <c r="AC13" s="11">
        <v>211.70887500000001</v>
      </c>
      <c r="AD13" s="13">
        <v>2.495877574441669</v>
      </c>
      <c r="AE13" s="11">
        <f t="shared" si="1"/>
        <v>31.198469680520862</v>
      </c>
      <c r="AF13" s="1">
        <f t="shared" si="2"/>
        <v>14.736495898209681</v>
      </c>
      <c r="AG13" s="1">
        <f t="shared" si="3"/>
        <v>0.14736495898209681</v>
      </c>
      <c r="AH13" s="2">
        <v>7.350000000000005</v>
      </c>
      <c r="AI13" s="2">
        <f t="shared" si="4"/>
        <v>1.0831324485184124</v>
      </c>
      <c r="AJ13" s="2">
        <f t="shared" si="5"/>
        <v>5.1337126609158048</v>
      </c>
      <c r="AK13" s="2">
        <f t="shared" si="6"/>
        <v>5.9653184333621372</v>
      </c>
      <c r="AL13" s="14">
        <v>65</v>
      </c>
      <c r="AM13" s="11">
        <v>401.25</v>
      </c>
      <c r="AN13" s="13">
        <v>4.8408065196272299</v>
      </c>
      <c r="AO13" s="11">
        <f t="shared" si="7"/>
        <v>60.510081495340373</v>
      </c>
      <c r="AP13" s="1">
        <f t="shared" si="8"/>
        <v>15.080394142140902</v>
      </c>
      <c r="AQ13" s="1">
        <f t="shared" si="9"/>
        <v>0.15080394142140902</v>
      </c>
      <c r="AR13" s="2">
        <v>27.09999999999998</v>
      </c>
      <c r="AS13" s="2">
        <f t="shared" si="10"/>
        <v>4.0867868125201809</v>
      </c>
      <c r="AT13" s="2">
        <f t="shared" si="11"/>
        <v>4.5670307091255946</v>
      </c>
      <c r="AU13" s="2">
        <f t="shared" si="12"/>
        <v>5.3886180166952906</v>
      </c>
      <c r="AV13" s="21">
        <v>0.11899999999999999</v>
      </c>
      <c r="AW13" s="21" t="s">
        <v>68</v>
      </c>
      <c r="AX13" s="21">
        <v>0.106</v>
      </c>
      <c r="AY13" s="21">
        <f t="shared" si="13"/>
        <v>7.9682181195045096E-2</v>
      </c>
      <c r="AZ13" s="21">
        <v>0.115</v>
      </c>
      <c r="BA13" s="20">
        <f t="shared" si="14"/>
        <v>18.148508235285821</v>
      </c>
      <c r="BB13" s="20">
        <f t="shared" si="15"/>
        <v>31.74</v>
      </c>
      <c r="BC13" s="21">
        <f t="shared" si="16"/>
        <v>0.15878770509951912</v>
      </c>
      <c r="BD13" s="21">
        <f t="shared" si="17"/>
        <v>0.19605747955834749</v>
      </c>
      <c r="BE13" s="21">
        <v>0.11899999999999999</v>
      </c>
      <c r="BF13" s="20">
        <f t="shared" si="18"/>
        <v>9.7738038930179751</v>
      </c>
      <c r="BG13" s="20">
        <f t="shared" si="19"/>
        <v>31.74</v>
      </c>
      <c r="BH13" s="21">
        <f t="shared" si="20"/>
        <v>0.14423251525869291</v>
      </c>
      <c r="BI13" s="21">
        <f t="shared" si="21"/>
        <v>0.18698667989418144</v>
      </c>
      <c r="BJ13" s="21">
        <f t="shared" si="22"/>
        <v>0.15617707514228837</v>
      </c>
      <c r="BK13" s="21">
        <f t="shared" si="23"/>
        <v>0.22540000000000002</v>
      </c>
      <c r="BL13" s="21">
        <f t="shared" si="24"/>
        <v>0.38427265993436105</v>
      </c>
      <c r="BM13" s="21">
        <f t="shared" si="25"/>
        <v>0.23323999999999998</v>
      </c>
      <c r="BN13" s="21">
        <f t="shared" si="26"/>
        <v>0.36649389259259563</v>
      </c>
    </row>
    <row r="14" spans="1:66" x14ac:dyDescent="0.2">
      <c r="A14" t="s">
        <v>1030</v>
      </c>
      <c r="B14" t="s">
        <v>1031</v>
      </c>
      <c r="C14" t="s">
        <v>32</v>
      </c>
      <c r="D14" t="s">
        <v>1005</v>
      </c>
      <c r="E14" t="s">
        <v>1009</v>
      </c>
      <c r="F14" s="8">
        <v>0.52500000000000013</v>
      </c>
      <c r="G14" s="2">
        <f t="shared" si="27"/>
        <v>6.279840696594043</v>
      </c>
      <c r="H14" s="9" t="s">
        <v>67</v>
      </c>
      <c r="I14" s="9" t="s">
        <v>67</v>
      </c>
      <c r="J14" s="10">
        <v>0.57500000000000007</v>
      </c>
      <c r="K14" s="2">
        <f t="shared" si="28"/>
        <v>6.2403321553103694</v>
      </c>
      <c r="L14" s="2">
        <f t="shared" si="0"/>
        <v>6.2600864259522062</v>
      </c>
      <c r="M14">
        <v>0.95399999999999996</v>
      </c>
      <c r="N14">
        <v>909000</v>
      </c>
      <c r="O14" s="9" t="s">
        <v>67</v>
      </c>
      <c r="P14" s="9" t="s">
        <v>67</v>
      </c>
      <c r="Q14">
        <v>0.90900000000000003</v>
      </c>
      <c r="R14">
        <v>480000</v>
      </c>
      <c r="S14" s="17">
        <v>0.64900000000000002</v>
      </c>
      <c r="T14" s="17">
        <v>761000</v>
      </c>
      <c r="U14" s="17">
        <v>1.43</v>
      </c>
      <c r="V14" s="17">
        <v>1530000</v>
      </c>
      <c r="W14" s="9" t="s">
        <v>67</v>
      </c>
      <c r="X14" s="9" t="s">
        <v>67</v>
      </c>
      <c r="Y14" s="9" t="s">
        <v>67</v>
      </c>
      <c r="Z14" s="9" t="s">
        <v>67</v>
      </c>
      <c r="AA14" s="11" t="s">
        <v>35</v>
      </c>
      <c r="AB14" s="14">
        <v>65</v>
      </c>
      <c r="AC14" s="11">
        <v>182.91315</v>
      </c>
      <c r="AD14" s="13">
        <v>4.9872033657014549</v>
      </c>
      <c r="AE14" s="11">
        <f t="shared" si="1"/>
        <v>62.340042071268186</v>
      </c>
      <c r="AF14" s="1">
        <f t="shared" si="2"/>
        <v>34.08177163384272</v>
      </c>
      <c r="AG14" s="1">
        <f t="shared" si="3"/>
        <v>0.34081771633842722</v>
      </c>
      <c r="AH14" s="2">
        <v>2.6699999999999982</v>
      </c>
      <c r="AI14" s="2">
        <f t="shared" si="4"/>
        <v>0.90998330262360005</v>
      </c>
      <c r="AJ14" s="2">
        <f t="shared" si="5"/>
        <v>5.573488738635425</v>
      </c>
      <c r="AK14" s="2">
        <f t="shared" si="6"/>
        <v>6.0409665765195246</v>
      </c>
      <c r="AL14" s="14">
        <v>65</v>
      </c>
      <c r="AM14" s="11">
        <v>401.82</v>
      </c>
      <c r="AN14" s="13">
        <v>4.7625734995264999</v>
      </c>
      <c r="AO14" s="11">
        <f t="shared" si="7"/>
        <v>59.532168744081247</v>
      </c>
      <c r="AP14" s="1">
        <f t="shared" si="8"/>
        <v>14.815631064676035</v>
      </c>
      <c r="AQ14" s="1">
        <f t="shared" si="9"/>
        <v>0.14815631064676035</v>
      </c>
      <c r="AR14" s="2">
        <v>10.099999999999991</v>
      </c>
      <c r="AS14" s="2">
        <f t="shared" si="10"/>
        <v>1.4963787375322781</v>
      </c>
      <c r="AT14" s="2">
        <f t="shared" si="11"/>
        <v>4.9956786262173578</v>
      </c>
      <c r="AU14" s="2">
        <f t="shared" si="12"/>
        <v>5.8249584714428302</v>
      </c>
      <c r="AV14" s="21">
        <v>6.0600000000000001E-2</v>
      </c>
      <c r="AW14" s="21" t="s">
        <v>68</v>
      </c>
      <c r="AX14" s="21">
        <v>0.13100000000000001</v>
      </c>
      <c r="AY14" s="21">
        <f t="shared" si="13"/>
        <v>7.2168829836709983E-2</v>
      </c>
      <c r="AZ14" s="21">
        <v>4.1599999999999998E-2</v>
      </c>
      <c r="BA14" s="20">
        <f t="shared" si="14"/>
        <v>9.5121436636724965</v>
      </c>
      <c r="BB14" s="20">
        <f t="shared" si="15"/>
        <v>31.74</v>
      </c>
      <c r="BC14" s="21">
        <f t="shared" si="16"/>
        <v>0.14390218241054689</v>
      </c>
      <c r="BD14" s="21">
        <f t="shared" si="17"/>
        <v>0.1497945196010799</v>
      </c>
      <c r="BE14" s="21">
        <v>0.224</v>
      </c>
      <c r="BF14" s="20">
        <f t="shared" si="18"/>
        <v>9.920227627833988</v>
      </c>
      <c r="BG14" s="20">
        <f t="shared" si="19"/>
        <v>31.74</v>
      </c>
      <c r="BH14" s="21">
        <f t="shared" si="20"/>
        <v>0.14442094001876299</v>
      </c>
      <c r="BI14" s="21">
        <f t="shared" si="21"/>
        <v>0.26652093335402971</v>
      </c>
      <c r="BJ14" s="21">
        <f t="shared" si="22"/>
        <v>0.14145090647995157</v>
      </c>
      <c r="BK14" s="21">
        <f t="shared" si="23"/>
        <v>8.1535999999999997E-2</v>
      </c>
      <c r="BL14" s="21">
        <f t="shared" si="24"/>
        <v>0.29359725841811657</v>
      </c>
      <c r="BM14" s="21">
        <f t="shared" si="25"/>
        <v>0.43903999999999999</v>
      </c>
      <c r="BN14" s="21">
        <f t="shared" si="26"/>
        <v>0.52238102937389819</v>
      </c>
    </row>
    <row r="15" spans="1:66" x14ac:dyDescent="0.2">
      <c r="A15" t="s">
        <v>1032</v>
      </c>
      <c r="B15" t="s">
        <v>1033</v>
      </c>
      <c r="C15" t="s">
        <v>32</v>
      </c>
      <c r="D15" t="s">
        <v>1005</v>
      </c>
      <c r="E15" t="s">
        <v>1009</v>
      </c>
      <c r="F15" s="8">
        <v>0.4219999999999996</v>
      </c>
      <c r="G15" s="2">
        <f t="shared" si="27"/>
        <v>6.3746875490383266</v>
      </c>
      <c r="H15" s="9" t="s">
        <v>67</v>
      </c>
      <c r="I15" s="9" t="s">
        <v>67</v>
      </c>
      <c r="J15" s="10">
        <v>0.26799999999999979</v>
      </c>
      <c r="K15" s="2">
        <f t="shared" si="28"/>
        <v>6.5718652059712115</v>
      </c>
      <c r="L15" s="2">
        <f t="shared" si="0"/>
        <v>6.473276377504769</v>
      </c>
      <c r="M15">
        <v>0.77700000000000002</v>
      </c>
      <c r="N15">
        <v>764000</v>
      </c>
      <c r="O15" s="9" t="s">
        <v>67</v>
      </c>
      <c r="P15" s="9" t="s">
        <v>67</v>
      </c>
      <c r="Q15">
        <v>1.1000000000000001</v>
      </c>
      <c r="R15">
        <v>558000</v>
      </c>
      <c r="S15" s="17">
        <v>0.96499999999999997</v>
      </c>
      <c r="T15" s="17">
        <v>1040000</v>
      </c>
      <c r="U15" s="17">
        <v>1.27</v>
      </c>
      <c r="V15" s="17">
        <v>1380000</v>
      </c>
      <c r="W15" s="9" t="s">
        <v>67</v>
      </c>
      <c r="X15" s="9" t="s">
        <v>67</v>
      </c>
      <c r="Y15" s="9" t="s">
        <v>67</v>
      </c>
      <c r="Z15" s="9" t="s">
        <v>67</v>
      </c>
      <c r="AA15" s="11" t="s">
        <v>35</v>
      </c>
      <c r="AB15" s="14">
        <v>65</v>
      </c>
      <c r="AC15" s="11">
        <v>183.99465000000001</v>
      </c>
      <c r="AD15" s="13">
        <v>15.48160740620164</v>
      </c>
      <c r="AE15" s="11">
        <f t="shared" si="1"/>
        <v>193.5200925775205</v>
      </c>
      <c r="AF15" s="1">
        <f t="shared" si="2"/>
        <v>105.17702149357086</v>
      </c>
      <c r="AG15" s="1">
        <f t="shared" si="3"/>
        <v>1.0517702149357087</v>
      </c>
      <c r="AH15" s="2">
        <v>0.20599999999999991</v>
      </c>
      <c r="AI15" s="2">
        <f t="shared" si="4"/>
        <v>0.21666466427675588</v>
      </c>
      <c r="AJ15" s="2">
        <f t="shared" si="5"/>
        <v>6.6861327796308467</v>
      </c>
      <c r="AK15" s="2">
        <f t="shared" si="6"/>
        <v>6.6642119117579179</v>
      </c>
      <c r="AL15" s="14">
        <v>65</v>
      </c>
      <c r="AM15" s="11">
        <v>397.27</v>
      </c>
      <c r="AN15" s="13">
        <v>24.652835506698501</v>
      </c>
      <c r="AO15" s="11">
        <f t="shared" si="7"/>
        <v>308.16044383373128</v>
      </c>
      <c r="AP15" s="1">
        <f t="shared" si="8"/>
        <v>77.569522952584208</v>
      </c>
      <c r="AQ15" s="1">
        <f t="shared" si="9"/>
        <v>0.77569522952584213</v>
      </c>
      <c r="AR15" s="2">
        <v>0.36099999999999982</v>
      </c>
      <c r="AS15" s="2">
        <f t="shared" si="10"/>
        <v>0.28002597785882888</v>
      </c>
      <c r="AT15" s="2">
        <f t="shared" si="11"/>
        <v>6.4424927980943423</v>
      </c>
      <c r="AU15" s="2">
        <f t="shared" si="12"/>
        <v>6.5528016775241724</v>
      </c>
      <c r="AV15" s="21">
        <v>9.4700000000000006E-2</v>
      </c>
      <c r="AW15" s="21" t="s">
        <v>68</v>
      </c>
      <c r="AX15" s="21">
        <v>4.7699999999999999E-2</v>
      </c>
      <c r="AY15" s="21">
        <f t="shared" si="13"/>
        <v>5.3017402803230564E-2</v>
      </c>
      <c r="AZ15" s="21">
        <v>5.4199999999999998E-2</v>
      </c>
      <c r="BA15" s="20">
        <f t="shared" si="14"/>
        <v>3.6471782863267106</v>
      </c>
      <c r="BB15" s="20">
        <f t="shared" si="15"/>
        <v>31.74</v>
      </c>
      <c r="BC15" s="21">
        <f t="shared" si="16"/>
        <v>0.13875212609816889</v>
      </c>
      <c r="BD15" s="21">
        <f t="shared" si="17"/>
        <v>0.14896238618108318</v>
      </c>
      <c r="BE15" s="21">
        <v>3.32E-2</v>
      </c>
      <c r="BF15" s="20">
        <f t="shared" si="18"/>
        <v>2.6103057604986484</v>
      </c>
      <c r="BG15" s="20">
        <f t="shared" si="19"/>
        <v>31.74</v>
      </c>
      <c r="BH15" s="21">
        <f t="shared" si="20"/>
        <v>0.13831043780156918</v>
      </c>
      <c r="BI15" s="21">
        <f t="shared" si="21"/>
        <v>0.14223929557215101</v>
      </c>
      <c r="BJ15" s="21">
        <f t="shared" si="22"/>
        <v>0.1039141094943319</v>
      </c>
      <c r="BK15" s="21">
        <f t="shared" si="23"/>
        <v>0.10623199999999999</v>
      </c>
      <c r="BL15" s="21">
        <f t="shared" si="24"/>
        <v>0.29196627691492305</v>
      </c>
      <c r="BM15" s="21">
        <f t="shared" si="25"/>
        <v>6.5072000000000005E-2</v>
      </c>
      <c r="BN15" s="21">
        <f t="shared" si="26"/>
        <v>0.27878901932141598</v>
      </c>
    </row>
    <row r="16" spans="1:66" x14ac:dyDescent="0.2">
      <c r="A16" t="s">
        <v>1034</v>
      </c>
      <c r="B16" t="s">
        <v>1035</v>
      </c>
      <c r="C16" t="s">
        <v>32</v>
      </c>
      <c r="D16" t="s">
        <v>1005</v>
      </c>
      <c r="E16" t="s">
        <v>1009</v>
      </c>
      <c r="F16" s="8">
        <v>0.42600000000000038</v>
      </c>
      <c r="G16" s="2">
        <f t="shared" si="27"/>
        <v>6.3705904008972807</v>
      </c>
      <c r="H16" s="9" t="s">
        <v>67</v>
      </c>
      <c r="I16" s="9" t="s">
        <v>67</v>
      </c>
      <c r="J16" s="10">
        <v>0.86300000000000032</v>
      </c>
      <c r="K16" s="2">
        <f t="shared" si="28"/>
        <v>6.0639892042847903</v>
      </c>
      <c r="L16" s="2">
        <f t="shared" si="0"/>
        <v>6.2172898025910355</v>
      </c>
      <c r="M16">
        <v>0.78500000000000003</v>
      </c>
      <c r="N16">
        <v>763000</v>
      </c>
      <c r="O16" s="9" t="s">
        <v>67</v>
      </c>
      <c r="P16" s="9" t="s">
        <v>67</v>
      </c>
      <c r="Q16">
        <v>0.69499999999999995</v>
      </c>
      <c r="R16">
        <v>393000</v>
      </c>
      <c r="S16" s="17">
        <v>0.61099999999999999</v>
      </c>
      <c r="T16" s="17">
        <v>728000</v>
      </c>
      <c r="U16" s="17">
        <v>0.85599999999999998</v>
      </c>
      <c r="V16" s="17">
        <v>986000</v>
      </c>
      <c r="W16" s="9" t="s">
        <v>67</v>
      </c>
      <c r="X16" s="9" t="s">
        <v>67</v>
      </c>
      <c r="Y16" s="9" t="s">
        <v>67</v>
      </c>
      <c r="Z16" s="9" t="s">
        <v>67</v>
      </c>
      <c r="AA16" s="11" t="s">
        <v>35</v>
      </c>
      <c r="AB16" s="14">
        <v>65</v>
      </c>
      <c r="AC16" s="11">
        <v>206.56755000000001</v>
      </c>
      <c r="AD16" s="13">
        <v>18.036841794101441</v>
      </c>
      <c r="AE16" s="11">
        <f t="shared" si="1"/>
        <v>225.46052242626803</v>
      </c>
      <c r="AF16" s="1">
        <f t="shared" si="2"/>
        <v>109.14614731416819</v>
      </c>
      <c r="AG16" s="1">
        <f t="shared" si="3"/>
        <v>1.0914614731416818</v>
      </c>
      <c r="AH16" s="2">
        <v>1.07</v>
      </c>
      <c r="AI16" s="2">
        <f t="shared" si="4"/>
        <v>1.1678637762615995</v>
      </c>
      <c r="AJ16" s="2">
        <f t="shared" si="5"/>
        <v>5.9706162223147903</v>
      </c>
      <c r="AK16" s="2">
        <f t="shared" si="6"/>
        <v>5.9326078119052488</v>
      </c>
      <c r="AL16" s="14">
        <v>65</v>
      </c>
      <c r="AM16" s="11">
        <v>399.29</v>
      </c>
      <c r="AN16" s="13">
        <v>20.8096430006714</v>
      </c>
      <c r="AO16" s="11">
        <f t="shared" si="7"/>
        <v>260.12053750839249</v>
      </c>
      <c r="AP16" s="1">
        <f t="shared" si="8"/>
        <v>65.145768115503131</v>
      </c>
      <c r="AQ16" s="1">
        <f t="shared" si="9"/>
        <v>0.65145768115503133</v>
      </c>
      <c r="AR16" s="2">
        <v>1.610000000000001</v>
      </c>
      <c r="AS16" s="2">
        <f t="shared" si="10"/>
        <v>1.0488468666596011</v>
      </c>
      <c r="AT16" s="2">
        <f t="shared" si="11"/>
        <v>5.79317412396815</v>
      </c>
      <c r="AU16" s="2">
        <f t="shared" si="12"/>
        <v>5.9792879148754707</v>
      </c>
      <c r="AV16" s="21">
        <v>5.28E-2</v>
      </c>
      <c r="AW16" s="21" t="s">
        <v>68</v>
      </c>
      <c r="AX16" s="21">
        <v>9.2700000000000005E-2</v>
      </c>
      <c r="AY16" s="21">
        <f t="shared" si="13"/>
        <v>5.334118952554396E-2</v>
      </c>
      <c r="AZ16" s="21">
        <v>4.8500000000000001E-2</v>
      </c>
      <c r="BA16" s="20">
        <f t="shared" si="14"/>
        <v>3.2523256905270008</v>
      </c>
      <c r="BB16" s="20">
        <f t="shared" si="15"/>
        <v>31.74</v>
      </c>
      <c r="BC16" s="21">
        <f t="shared" si="16"/>
        <v>0.13856684039229333</v>
      </c>
      <c r="BD16" s="21">
        <f t="shared" si="17"/>
        <v>0.1468094658266397</v>
      </c>
      <c r="BE16" s="21">
        <v>6.9400000000000003E-2</v>
      </c>
      <c r="BF16" s="20">
        <f t="shared" si="18"/>
        <v>2.9335579172890092</v>
      </c>
      <c r="BG16" s="20">
        <f t="shared" si="19"/>
        <v>31.74</v>
      </c>
      <c r="BH16" s="21">
        <f t="shared" si="20"/>
        <v>0.13843257443153947</v>
      </c>
      <c r="BI16" s="21">
        <f t="shared" si="21"/>
        <v>0.15485456939898068</v>
      </c>
      <c r="BJ16" s="21">
        <f t="shared" si="22"/>
        <v>0.10454873147006616</v>
      </c>
      <c r="BK16" s="21">
        <f t="shared" si="23"/>
        <v>9.5060000000000006E-2</v>
      </c>
      <c r="BL16" s="21">
        <f t="shared" si="24"/>
        <v>0.28774655302021379</v>
      </c>
      <c r="BM16" s="21">
        <f t="shared" si="25"/>
        <v>0.13602400000000001</v>
      </c>
      <c r="BN16" s="21">
        <f t="shared" si="26"/>
        <v>0.30351495602200212</v>
      </c>
    </row>
    <row r="17" spans="1:66" x14ac:dyDescent="0.2">
      <c r="A17" t="s">
        <v>1036</v>
      </c>
      <c r="B17" t="s">
        <v>1037</v>
      </c>
      <c r="C17" t="s">
        <v>32</v>
      </c>
      <c r="D17" t="s">
        <v>1005</v>
      </c>
      <c r="E17" t="s">
        <v>1009</v>
      </c>
      <c r="F17" s="8">
        <v>0.249</v>
      </c>
      <c r="G17" s="2">
        <f t="shared" si="27"/>
        <v>6.6038006529042637</v>
      </c>
      <c r="H17" s="9" t="s">
        <v>67</v>
      </c>
      <c r="I17" s="9" t="s">
        <v>67</v>
      </c>
      <c r="J17" s="10">
        <v>0.40299999999999969</v>
      </c>
      <c r="K17" s="2">
        <f t="shared" si="28"/>
        <v>6.3946949538588909</v>
      </c>
      <c r="L17" s="2">
        <f t="shared" si="0"/>
        <v>6.4992478033815768</v>
      </c>
      <c r="M17">
        <v>1.1499999999999999</v>
      </c>
      <c r="N17">
        <v>1060000</v>
      </c>
      <c r="O17" s="9" t="s">
        <v>67</v>
      </c>
      <c r="P17" s="9" t="s">
        <v>67</v>
      </c>
      <c r="Q17">
        <v>1.1399999999999999</v>
      </c>
      <c r="R17">
        <v>573000</v>
      </c>
      <c r="S17" s="9" t="s">
        <v>67</v>
      </c>
      <c r="T17" s="9" t="s">
        <v>67</v>
      </c>
      <c r="U17" s="9" t="s">
        <v>67</v>
      </c>
      <c r="V17" s="9" t="s">
        <v>67</v>
      </c>
      <c r="W17">
        <v>1.1100000000000001</v>
      </c>
      <c r="X17">
        <v>540000</v>
      </c>
      <c r="Y17">
        <v>0.878</v>
      </c>
      <c r="Z17">
        <v>407500</v>
      </c>
      <c r="AA17" s="11" t="s">
        <v>247</v>
      </c>
      <c r="AB17" s="14">
        <v>20</v>
      </c>
      <c r="AC17" s="11">
        <v>498.22</v>
      </c>
      <c r="AD17" s="13">
        <v>18.359641695029762</v>
      </c>
      <c r="AE17" s="11">
        <f t="shared" si="1"/>
        <v>229.49552118787201</v>
      </c>
      <c r="AF17" s="1">
        <f t="shared" si="2"/>
        <v>46.06308883382281</v>
      </c>
      <c r="AG17" s="1">
        <f t="shared" si="3"/>
        <v>0.46063088833822813</v>
      </c>
      <c r="AH17" s="2">
        <v>0.48421586095459451</v>
      </c>
      <c r="AI17" s="2">
        <f t="shared" si="4"/>
        <v>0.22304478217897483</v>
      </c>
      <c r="AJ17" s="2">
        <f t="shared" si="5"/>
        <v>6.3149609889293128</v>
      </c>
      <c r="AK17" s="2">
        <f t="shared" si="6"/>
        <v>6.6516079320161072</v>
      </c>
      <c r="AL17" s="14">
        <v>20</v>
      </c>
      <c r="AM17" s="11">
        <v>500</v>
      </c>
      <c r="AN17" s="13">
        <v>24.671332899122099</v>
      </c>
      <c r="AO17" s="11">
        <f t="shared" si="7"/>
        <v>308.39166123902623</v>
      </c>
      <c r="AP17" s="1">
        <f t="shared" si="8"/>
        <v>61.678332247805244</v>
      </c>
      <c r="AQ17" s="1">
        <f t="shared" si="9"/>
        <v>0.61678332247805245</v>
      </c>
      <c r="AR17" s="2">
        <v>0.48597736572807648</v>
      </c>
      <c r="AS17" s="2">
        <f t="shared" si="10"/>
        <v>0.29974273428289461</v>
      </c>
      <c r="AT17" s="2">
        <f t="shared" si="11"/>
        <v>6.3133839574214683</v>
      </c>
      <c r="AU17" s="2">
        <f t="shared" si="12"/>
        <v>6.5232513353319979</v>
      </c>
      <c r="AV17" s="21">
        <v>6.4000000000000001E-2</v>
      </c>
      <c r="AW17" s="21" t="s">
        <v>68</v>
      </c>
      <c r="AX17" s="21">
        <v>4.5900000000000003E-2</v>
      </c>
      <c r="AY17" s="21">
        <f t="shared" si="13"/>
        <v>3.9378960118316986E-2</v>
      </c>
      <c r="AZ17" s="21">
        <v>4.8289155097185121E-2</v>
      </c>
      <c r="BA17" s="20">
        <f t="shared" si="14"/>
        <v>3.2102637315455547</v>
      </c>
      <c r="BB17" s="20">
        <f t="shared" si="15"/>
        <v>31.74</v>
      </c>
      <c r="BC17" s="21">
        <f t="shared" si="16"/>
        <v>0.1385483390018655</v>
      </c>
      <c r="BD17" s="21">
        <f t="shared" si="17"/>
        <v>0.14672247523871673</v>
      </c>
      <c r="BE17" s="21">
        <v>5.3908371335071877E-2</v>
      </c>
      <c r="BF17" s="20">
        <f t="shared" si="18"/>
        <v>2.6089934644566952</v>
      </c>
      <c r="BG17" s="20">
        <f t="shared" si="19"/>
        <v>31.74</v>
      </c>
      <c r="BH17" s="21">
        <f t="shared" si="20"/>
        <v>0.13830997078916171</v>
      </c>
      <c r="BI17" s="21">
        <f t="shared" si="21"/>
        <v>0.14844446948168452</v>
      </c>
      <c r="BJ17" s="21">
        <f t="shared" si="22"/>
        <v>7.7182761831901286E-2</v>
      </c>
      <c r="BK17" s="21">
        <f t="shared" si="23"/>
        <v>9.464674399048284E-2</v>
      </c>
      <c r="BL17" s="21">
        <f t="shared" si="24"/>
        <v>0.28757605146788479</v>
      </c>
      <c r="BM17" s="21">
        <f t="shared" si="25"/>
        <v>0.10566040781674088</v>
      </c>
      <c r="BN17" s="21">
        <f t="shared" si="26"/>
        <v>0.29095116018410166</v>
      </c>
    </row>
    <row r="18" spans="1:66" x14ac:dyDescent="0.2">
      <c r="A18" t="s">
        <v>1038</v>
      </c>
      <c r="B18" t="s">
        <v>1039</v>
      </c>
      <c r="C18" t="s">
        <v>32</v>
      </c>
      <c r="D18" t="s">
        <v>1005</v>
      </c>
      <c r="E18" t="s">
        <v>1009</v>
      </c>
      <c r="F18" s="8">
        <v>0.17599999999999991</v>
      </c>
      <c r="G18" s="2">
        <f t="shared" si="27"/>
        <v>6.7544873321858505</v>
      </c>
      <c r="H18" s="9" t="s">
        <v>67</v>
      </c>
      <c r="I18" s="9" t="s">
        <v>67</v>
      </c>
      <c r="J18" s="10">
        <v>0.31199999999999972</v>
      </c>
      <c r="K18" s="2">
        <f t="shared" si="28"/>
        <v>6.5058454059815576</v>
      </c>
      <c r="L18" s="2">
        <f t="shared" si="0"/>
        <v>6.630166369083704</v>
      </c>
      <c r="M18">
        <v>0.66700000000000004</v>
      </c>
      <c r="N18">
        <v>667000</v>
      </c>
      <c r="O18" s="9" t="s">
        <v>67</v>
      </c>
      <c r="P18" s="9" t="s">
        <v>67</v>
      </c>
      <c r="Q18">
        <v>0.64</v>
      </c>
      <c r="R18">
        <v>371000</v>
      </c>
      <c r="S18" s="9" t="s">
        <v>67</v>
      </c>
      <c r="T18" s="9" t="s">
        <v>67</v>
      </c>
      <c r="U18" s="9" t="s">
        <v>67</v>
      </c>
      <c r="V18" s="9" t="s">
        <v>67</v>
      </c>
      <c r="W18">
        <v>0.63</v>
      </c>
      <c r="X18">
        <v>357000</v>
      </c>
      <c r="Y18">
        <v>0.64500000000000002</v>
      </c>
      <c r="Z18">
        <v>328000</v>
      </c>
      <c r="AA18" s="11" t="s">
        <v>35</v>
      </c>
      <c r="AB18" s="14">
        <v>65</v>
      </c>
      <c r="AC18" s="11">
        <v>497.98</v>
      </c>
      <c r="AD18" s="13">
        <v>11.39628563876896</v>
      </c>
      <c r="AE18" s="11">
        <f t="shared" si="1"/>
        <v>142.45357048461202</v>
      </c>
      <c r="AF18" s="1">
        <f t="shared" si="2"/>
        <v>28.606283482190452</v>
      </c>
      <c r="AG18" s="1">
        <f t="shared" si="3"/>
        <v>0.28606283482190453</v>
      </c>
      <c r="AH18" s="2">
        <v>0.7233920099088732</v>
      </c>
      <c r="AI18" s="2">
        <f t="shared" si="4"/>
        <v>0.20693556904204752</v>
      </c>
      <c r="AJ18" s="2">
        <f t="shared" si="5"/>
        <v>6.1406262924663677</v>
      </c>
      <c r="AK18" s="2">
        <f t="shared" si="6"/>
        <v>6.6841648543752363</v>
      </c>
      <c r="AL18" s="14">
        <v>65</v>
      </c>
      <c r="AM18" s="11">
        <v>499.46</v>
      </c>
      <c r="AN18" s="13">
        <v>11.284972259146629</v>
      </c>
      <c r="AO18" s="11">
        <f t="shared" si="7"/>
        <v>141.06215323933287</v>
      </c>
      <c r="AP18" s="1">
        <f t="shared" si="8"/>
        <v>28.242933015523342</v>
      </c>
      <c r="AQ18" s="1">
        <f t="shared" si="9"/>
        <v>0.28242933015523342</v>
      </c>
      <c r="AR18" s="2">
        <v>0.74799732619843073</v>
      </c>
      <c r="AS18" s="2">
        <f t="shared" si="10"/>
        <v>0.21125638379612843</v>
      </c>
      <c r="AT18" s="2">
        <f t="shared" si="11"/>
        <v>6.126099954567815</v>
      </c>
      <c r="AU18" s="2">
        <f t="shared" si="12"/>
        <v>6.6751901585650515</v>
      </c>
      <c r="AV18" s="21">
        <v>7.0900000000000005E-2</v>
      </c>
      <c r="AW18" s="21" t="s">
        <v>68</v>
      </c>
      <c r="AX18" s="21">
        <v>5.6399999999999999E-2</v>
      </c>
      <c r="AY18" s="21">
        <f t="shared" si="13"/>
        <v>4.5298371935423902E-2</v>
      </c>
      <c r="AZ18" s="21">
        <v>6.4869966086009326E-2</v>
      </c>
      <c r="BA18" s="20">
        <f t="shared" si="14"/>
        <v>4.6463213829257013</v>
      </c>
      <c r="BB18" s="20">
        <f t="shared" si="15"/>
        <v>31.74</v>
      </c>
      <c r="BC18" s="21">
        <f t="shared" si="16"/>
        <v>0.1393141900892951</v>
      </c>
      <c r="BD18" s="21">
        <f t="shared" si="17"/>
        <v>0.15367679089646638</v>
      </c>
      <c r="BE18" s="21">
        <v>4.1561340209382083E-2</v>
      </c>
      <c r="BF18" s="20">
        <f t="shared" si="18"/>
        <v>4.6836691246650002</v>
      </c>
      <c r="BG18" s="20">
        <f t="shared" si="19"/>
        <v>31.74</v>
      </c>
      <c r="BH18" s="21">
        <f t="shared" si="20"/>
        <v>0.13933777596795138</v>
      </c>
      <c r="BI18" s="21">
        <f t="shared" si="21"/>
        <v>0.14540412928006896</v>
      </c>
      <c r="BJ18" s="21">
        <f t="shared" si="22"/>
        <v>8.8784808993430844E-2</v>
      </c>
      <c r="BK18" s="21">
        <f t="shared" si="23"/>
        <v>0.12714513352857829</v>
      </c>
      <c r="BL18" s="21">
        <f t="shared" si="24"/>
        <v>0.30120651015707411</v>
      </c>
      <c r="BM18" s="21">
        <f t="shared" si="25"/>
        <v>8.1460226810388878E-2</v>
      </c>
      <c r="BN18" s="21">
        <f t="shared" si="26"/>
        <v>0.28499209338893516</v>
      </c>
    </row>
    <row r="19" spans="1:66" x14ac:dyDescent="0.2">
      <c r="A19" t="s">
        <v>1040</v>
      </c>
      <c r="B19" t="s">
        <v>1041</v>
      </c>
      <c r="C19" t="s">
        <v>502</v>
      </c>
      <c r="D19" t="s">
        <v>1042</v>
      </c>
      <c r="E19" t="s">
        <v>1009</v>
      </c>
      <c r="F19" s="8">
        <v>0.39399999999999957</v>
      </c>
      <c r="G19" s="2">
        <f t="shared" si="27"/>
        <v>6.4045037781744263</v>
      </c>
      <c r="H19" s="9" t="s">
        <v>67</v>
      </c>
      <c r="I19" s="9" t="s">
        <v>67</v>
      </c>
      <c r="J19" s="10">
        <v>1.31</v>
      </c>
      <c r="K19" s="2">
        <f t="shared" si="28"/>
        <v>5.8827287043442356</v>
      </c>
      <c r="L19" s="2">
        <f t="shared" si="0"/>
        <v>6.1436162412593305</v>
      </c>
      <c r="M19">
        <v>1.19</v>
      </c>
      <c r="N19">
        <v>1100000</v>
      </c>
      <c r="O19" s="9" t="s">
        <v>67</v>
      </c>
      <c r="P19" s="9" t="s">
        <v>67</v>
      </c>
      <c r="Q19">
        <v>1.07</v>
      </c>
      <c r="R19">
        <v>544000</v>
      </c>
      <c r="S19" s="18" t="s">
        <v>67</v>
      </c>
      <c r="T19" s="18" t="s">
        <v>67</v>
      </c>
      <c r="U19" s="18" t="s">
        <v>67</v>
      </c>
      <c r="V19" s="18" t="s">
        <v>67</v>
      </c>
      <c r="W19">
        <v>1.145</v>
      </c>
      <c r="X19">
        <v>552000</v>
      </c>
      <c r="Y19">
        <v>0.83749999999999991</v>
      </c>
      <c r="Z19">
        <v>395500</v>
      </c>
      <c r="AA19" s="11" t="s">
        <v>247</v>
      </c>
      <c r="AB19" s="14">
        <v>20</v>
      </c>
      <c r="AC19" s="11">
        <v>497.74</v>
      </c>
      <c r="AD19" s="13">
        <v>21.21422403650276</v>
      </c>
      <c r="AE19" s="11">
        <f t="shared" si="1"/>
        <v>265.1778004562845</v>
      </c>
      <c r="AF19" s="1">
        <f t="shared" si="2"/>
        <v>53.276369280404325</v>
      </c>
      <c r="AG19" s="1">
        <f t="shared" si="3"/>
        <v>0.53276369280404323</v>
      </c>
      <c r="AH19" s="2">
        <v>0.32899544069789233</v>
      </c>
      <c r="AI19" s="2">
        <f t="shared" si="4"/>
        <v>0.17527682590190274</v>
      </c>
      <c r="AJ19" s="2">
        <f t="shared" si="5"/>
        <v>6.4828101205712017</v>
      </c>
      <c r="AK19" s="2">
        <f t="shared" si="6"/>
        <v>6.7562755000398331</v>
      </c>
      <c r="AL19" s="14">
        <v>20</v>
      </c>
      <c r="AM19" s="11">
        <v>499.44</v>
      </c>
      <c r="AN19" s="13">
        <v>21.300468151519429</v>
      </c>
      <c r="AO19" s="11">
        <f t="shared" si="7"/>
        <v>266.25585189399288</v>
      </c>
      <c r="AP19" s="1">
        <f t="shared" si="8"/>
        <v>53.310878562788901</v>
      </c>
      <c r="AQ19" s="1">
        <f t="shared" si="9"/>
        <v>0.53310878562788899</v>
      </c>
      <c r="AR19" s="2">
        <v>0.62146600872453162</v>
      </c>
      <c r="AS19" s="2">
        <f t="shared" si="10"/>
        <v>0.33130898922014612</v>
      </c>
      <c r="AT19" s="2">
        <f t="shared" si="11"/>
        <v>6.2065826202436938</v>
      </c>
      <c r="AU19" s="2">
        <f t="shared" si="12"/>
        <v>6.4797667804906824</v>
      </c>
      <c r="AV19" s="21">
        <v>3.6299999999999999E-2</v>
      </c>
      <c r="AW19" s="21" t="s">
        <v>68</v>
      </c>
      <c r="AX19" s="21">
        <v>6.4399999999999999E-2</v>
      </c>
      <c r="AY19" s="21">
        <f t="shared" si="13"/>
        <v>3.6962988244999891E-2</v>
      </c>
      <c r="AZ19" s="21">
        <v>7.0937454845800607E-2</v>
      </c>
      <c r="BA19" s="20">
        <f t="shared" si="14"/>
        <v>2.894012647634574</v>
      </c>
      <c r="BB19" s="20">
        <f t="shared" si="15"/>
        <v>31.74</v>
      </c>
      <c r="BC19" s="21">
        <f t="shared" si="16"/>
        <v>0.13841687416439763</v>
      </c>
      <c r="BD19" s="21">
        <f t="shared" si="17"/>
        <v>0.15553569864646086</v>
      </c>
      <c r="BE19" s="21">
        <v>5.1331958856057701E-2</v>
      </c>
      <c r="BF19" s="20">
        <f t="shared" si="18"/>
        <v>2.8857770718021505</v>
      </c>
      <c r="BG19" s="20">
        <f t="shared" si="19"/>
        <v>31.74</v>
      </c>
      <c r="BH19" s="21">
        <f t="shared" si="20"/>
        <v>0.13841363106181587</v>
      </c>
      <c r="BI19" s="21">
        <f t="shared" si="21"/>
        <v>0.1476255508498325</v>
      </c>
      <c r="BJ19" s="21">
        <f t="shared" si="22"/>
        <v>7.2447456960199788E-2</v>
      </c>
      <c r="BK19" s="21">
        <f t="shared" si="23"/>
        <v>0.13903741149776919</v>
      </c>
      <c r="BL19" s="21">
        <f t="shared" si="24"/>
        <v>0.30484996934706327</v>
      </c>
      <c r="BM19" s="21">
        <f t="shared" si="25"/>
        <v>0.10061063935787309</v>
      </c>
      <c r="BN19" s="21">
        <f t="shared" si="26"/>
        <v>0.28934607966567172</v>
      </c>
    </row>
    <row r="20" spans="1:66" x14ac:dyDescent="0.2">
      <c r="A20" t="s">
        <v>1043</v>
      </c>
      <c r="B20" t="s">
        <v>1044</v>
      </c>
      <c r="C20" t="s">
        <v>502</v>
      </c>
      <c r="D20" t="s">
        <v>1042</v>
      </c>
      <c r="E20" t="s">
        <v>1009</v>
      </c>
      <c r="F20" s="8">
        <v>0.44799999999999962</v>
      </c>
      <c r="G20" s="2">
        <f t="shared" si="27"/>
        <v>6.3487219860018564</v>
      </c>
      <c r="H20" s="9" t="s">
        <v>67</v>
      </c>
      <c r="I20" s="9" t="s">
        <v>67</v>
      </c>
      <c r="J20" s="10">
        <v>1.31</v>
      </c>
      <c r="K20" s="2">
        <f t="shared" si="28"/>
        <v>5.8827287043442356</v>
      </c>
      <c r="L20" s="2">
        <f t="shared" si="0"/>
        <v>6.115725345173046</v>
      </c>
      <c r="M20">
        <v>0.90900000000000003</v>
      </c>
      <c r="N20">
        <v>806000</v>
      </c>
      <c r="O20" s="9" t="s">
        <v>67</v>
      </c>
      <c r="P20" s="9" t="s">
        <v>67</v>
      </c>
      <c r="Q20">
        <v>1.43</v>
      </c>
      <c r="R20">
        <v>691000</v>
      </c>
      <c r="S20" s="18" t="s">
        <v>67</v>
      </c>
      <c r="T20" s="18" t="s">
        <v>67</v>
      </c>
      <c r="U20" s="18" t="s">
        <v>67</v>
      </c>
      <c r="V20" s="18" t="s">
        <v>67</v>
      </c>
      <c r="W20">
        <v>1.06</v>
      </c>
      <c r="X20">
        <v>522500</v>
      </c>
      <c r="Y20">
        <v>0.71399999999999997</v>
      </c>
      <c r="Z20">
        <v>352500</v>
      </c>
      <c r="AA20" s="11" t="s">
        <v>35</v>
      </c>
      <c r="AB20" s="14">
        <v>65</v>
      </c>
      <c r="AC20" s="11">
        <v>497.88</v>
      </c>
      <c r="AD20" s="13">
        <v>23.139538313528501</v>
      </c>
      <c r="AE20" s="11">
        <f t="shared" si="1"/>
        <v>289.24422891910626</v>
      </c>
      <c r="AF20" s="1">
        <f t="shared" si="2"/>
        <v>58.095169301660285</v>
      </c>
      <c r="AG20" s="1">
        <f t="shared" si="3"/>
        <v>0.58095169301660288</v>
      </c>
      <c r="AH20" s="2">
        <v>0.38314488121336099</v>
      </c>
      <c r="AI20" s="2">
        <f t="shared" si="4"/>
        <v>0.22258866741154726</v>
      </c>
      <c r="AJ20" s="2">
        <f t="shared" si="5"/>
        <v>6.4166369722099734</v>
      </c>
      <c r="AK20" s="2">
        <f t="shared" si="6"/>
        <v>6.6524969505400193</v>
      </c>
      <c r="AL20" s="14">
        <v>65</v>
      </c>
      <c r="AM20" s="11">
        <v>499.48</v>
      </c>
      <c r="AN20" s="13">
        <v>24.802849867846142</v>
      </c>
      <c r="AO20" s="11">
        <f t="shared" si="7"/>
        <v>310.0356233480768</v>
      </c>
      <c r="AP20" s="1">
        <f t="shared" si="8"/>
        <v>62.071679216</v>
      </c>
      <c r="AQ20" s="1">
        <f t="shared" si="9"/>
        <v>0.62071679215999997</v>
      </c>
      <c r="AR20" s="2">
        <v>0.76436640428527469</v>
      </c>
      <c r="AS20" s="2">
        <f t="shared" si="10"/>
        <v>0.47445506250282937</v>
      </c>
      <c r="AT20" s="2">
        <f t="shared" si="11"/>
        <v>6.1166984094691417</v>
      </c>
      <c r="AU20" s="2">
        <f t="shared" si="12"/>
        <v>6.3238049150201361</v>
      </c>
      <c r="AV20" s="21">
        <v>5.6899999999999999E-2</v>
      </c>
      <c r="AW20" s="21" t="s">
        <v>68</v>
      </c>
      <c r="AX20" s="21">
        <v>6.4399999999999999E-2</v>
      </c>
      <c r="AY20" s="21">
        <f t="shared" si="13"/>
        <v>4.2967924082971475E-2</v>
      </c>
      <c r="AZ20" s="21">
        <v>4.1038061601396329E-2</v>
      </c>
      <c r="BA20" s="20">
        <f t="shared" si="14"/>
        <v>2.7247735929446963</v>
      </c>
      <c r="BB20" s="20">
        <f t="shared" si="15"/>
        <v>31.74</v>
      </c>
      <c r="BC20" s="21">
        <f t="shared" si="16"/>
        <v>0.13835207127584837</v>
      </c>
      <c r="BD20" s="21">
        <f t="shared" si="17"/>
        <v>0.14431014561117117</v>
      </c>
      <c r="BE20" s="21">
        <v>4.6375774926140048E-2</v>
      </c>
      <c r="BF20" s="20">
        <f t="shared" si="18"/>
        <v>2.5997194366740368</v>
      </c>
      <c r="BG20" s="20">
        <f t="shared" si="19"/>
        <v>31.74</v>
      </c>
      <c r="BH20" s="21">
        <f t="shared" si="20"/>
        <v>0.13830667705062266</v>
      </c>
      <c r="BI20" s="21">
        <f t="shared" si="21"/>
        <v>0.14587477306506849</v>
      </c>
      <c r="BJ20" s="21">
        <f t="shared" si="22"/>
        <v>8.4217131202624085E-2</v>
      </c>
      <c r="BK20" s="21">
        <f t="shared" si="23"/>
        <v>8.0434600738736803E-2</v>
      </c>
      <c r="BL20" s="21">
        <f t="shared" si="24"/>
        <v>0.28284788539789552</v>
      </c>
      <c r="BM20" s="21">
        <f t="shared" si="25"/>
        <v>9.089651885523449E-2</v>
      </c>
      <c r="BN20" s="21">
        <f t="shared" si="26"/>
        <v>0.28591455520753423</v>
      </c>
    </row>
    <row r="21" spans="1:66" x14ac:dyDescent="0.2">
      <c r="A21" t="s">
        <v>1026</v>
      </c>
      <c r="B21" t="s">
        <v>1027</v>
      </c>
      <c r="C21" t="s">
        <v>502</v>
      </c>
      <c r="D21" t="s">
        <v>1042</v>
      </c>
      <c r="E21" t="s">
        <v>1009</v>
      </c>
      <c r="F21" s="8">
        <v>0.21800000000000011</v>
      </c>
      <c r="G21" s="2">
        <f t="shared" si="27"/>
        <v>6.6615435063953949</v>
      </c>
      <c r="H21" s="9" t="s">
        <v>67</v>
      </c>
      <c r="I21" s="9" t="s">
        <v>67</v>
      </c>
      <c r="J21" s="10">
        <v>0.19600000000000009</v>
      </c>
      <c r="K21" s="10">
        <f t="shared" si="28"/>
        <v>6.7077439286435236</v>
      </c>
      <c r="L21" s="10">
        <f t="shared" si="0"/>
        <v>6.6846437175194593</v>
      </c>
      <c r="M21">
        <v>0.78500000000000003</v>
      </c>
      <c r="N21">
        <v>820000</v>
      </c>
      <c r="O21" s="9" t="s">
        <v>67</v>
      </c>
      <c r="P21" s="9" t="s">
        <v>67</v>
      </c>
      <c r="Q21">
        <v>0.74399999999999999</v>
      </c>
      <c r="R21">
        <v>374000</v>
      </c>
      <c r="S21" s="18" t="s">
        <v>67</v>
      </c>
      <c r="T21" s="18" t="s">
        <v>67</v>
      </c>
      <c r="U21" s="18" t="s">
        <v>67</v>
      </c>
      <c r="V21" s="18" t="s">
        <v>67</v>
      </c>
      <c r="W21">
        <v>1.06</v>
      </c>
      <c r="X21">
        <v>521000</v>
      </c>
      <c r="Y21">
        <v>0.79049999999999998</v>
      </c>
      <c r="Z21">
        <v>379000</v>
      </c>
      <c r="AA21" s="11" t="s">
        <v>35</v>
      </c>
      <c r="AB21" s="14">
        <v>65</v>
      </c>
      <c r="AC21" s="11">
        <v>497.92</v>
      </c>
      <c r="AD21" s="13">
        <v>26.298698863511749</v>
      </c>
      <c r="AE21" s="11">
        <f t="shared" si="1"/>
        <v>328.73373579389687</v>
      </c>
      <c r="AF21" s="1">
        <f t="shared" si="2"/>
        <v>66.021396166833398</v>
      </c>
      <c r="AG21" s="1">
        <f t="shared" si="3"/>
        <v>0.66021396166833402</v>
      </c>
      <c r="AH21" s="2">
        <v>0.29510506603581049</v>
      </c>
      <c r="AI21" s="2">
        <f t="shared" si="4"/>
        <v>0.19483248475589776</v>
      </c>
      <c r="AJ21" s="2">
        <f t="shared" si="5"/>
        <v>6.5300233349510313</v>
      </c>
      <c r="AK21" s="2">
        <f t="shared" si="6"/>
        <v>6.7103386307528572</v>
      </c>
      <c r="AL21" s="14">
        <v>65</v>
      </c>
      <c r="AM21" s="11">
        <v>506.42</v>
      </c>
      <c r="AN21" s="13">
        <v>26.02756813969528</v>
      </c>
      <c r="AO21" s="11">
        <f t="shared" si="7"/>
        <v>325.34460174619102</v>
      </c>
      <c r="AP21" s="1">
        <f t="shared" si="8"/>
        <v>64.244027042018686</v>
      </c>
      <c r="AQ21" s="1">
        <f t="shared" si="9"/>
        <v>0.64244027042018681</v>
      </c>
      <c r="AR21" s="2">
        <v>0.57983100986408076</v>
      </c>
      <c r="AS21" s="2">
        <f t="shared" si="10"/>
        <v>0.37250679077509002</v>
      </c>
      <c r="AT21" s="2">
        <f t="shared" si="11"/>
        <v>6.2366985619152677</v>
      </c>
      <c r="AU21" s="2">
        <f t="shared" si="12"/>
        <v>6.4288658056827552</v>
      </c>
      <c r="AV21" s="21">
        <v>4.7E-2</v>
      </c>
      <c r="AW21" s="21" t="s">
        <v>68</v>
      </c>
      <c r="AX21" s="21">
        <v>6.3899999999999998E-2</v>
      </c>
      <c r="AY21" s="21">
        <f t="shared" si="13"/>
        <v>3.966172588277015E-2</v>
      </c>
      <c r="AZ21" s="21">
        <v>3.7587531177240147E-2</v>
      </c>
      <c r="BA21" s="20">
        <f t="shared" si="14"/>
        <v>2.5007655840292791</v>
      </c>
      <c r="BB21" s="20">
        <f t="shared" si="15"/>
        <v>31.74</v>
      </c>
      <c r="BC21" s="21">
        <f t="shared" si="16"/>
        <v>0.13827225841061669</v>
      </c>
      <c r="BD21" s="21">
        <f t="shared" si="17"/>
        <v>0.1432900552933537</v>
      </c>
      <c r="BE21" s="21">
        <v>4.7868152251784278E-2</v>
      </c>
      <c r="BF21" s="20">
        <f t="shared" si="18"/>
        <v>2.5178575366090725</v>
      </c>
      <c r="BG21" s="20">
        <f t="shared" si="19"/>
        <v>31.74</v>
      </c>
      <c r="BH21" s="21">
        <f t="shared" si="20"/>
        <v>0.13827810860970355</v>
      </c>
      <c r="BI21" s="21">
        <f t="shared" si="21"/>
        <v>0.14632906519443417</v>
      </c>
      <c r="BJ21" s="21">
        <f t="shared" si="22"/>
        <v>7.7736982730229498E-2</v>
      </c>
      <c r="BK21" s="21">
        <f t="shared" si="23"/>
        <v>7.367156110739069E-2</v>
      </c>
      <c r="BL21" s="21">
        <f t="shared" si="24"/>
        <v>0.28084850837497327</v>
      </c>
      <c r="BM21" s="21">
        <f t="shared" si="25"/>
        <v>9.3821578413497184E-2</v>
      </c>
      <c r="BN21" s="21">
        <f t="shared" si="26"/>
        <v>0.28680496778109099</v>
      </c>
    </row>
  </sheetData>
  <conditionalFormatting sqref="AF2:AF21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AP2:AP21">
    <cfRule type="colorScale" priority="3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457"/>
  <sheetViews>
    <sheetView workbookViewId="0"/>
  </sheetViews>
  <sheetFormatPr baseColWidth="10" defaultColWidth="13.5" defaultRowHeight="15" x14ac:dyDescent="0.2"/>
  <cols>
    <col min="1" max="1" width="13.33203125" bestFit="1" customWidth="1"/>
    <col min="2" max="3" width="12.83203125" bestFit="1" customWidth="1"/>
    <col min="4" max="4" width="12.83203125" customWidth="1"/>
    <col min="5" max="5" width="12.5" bestFit="1" customWidth="1"/>
    <col min="6" max="6" width="16" bestFit="1" customWidth="1"/>
    <col min="7" max="7" width="17.1640625" bestFit="1" customWidth="1"/>
    <col min="8" max="8" width="14.6640625" bestFit="1" customWidth="1"/>
    <col min="9" max="9" width="15.33203125" bestFit="1" customWidth="1"/>
    <col min="10" max="10" width="19.33203125" bestFit="1" customWidth="1"/>
    <col min="11" max="11" width="13.33203125" bestFit="1" customWidth="1"/>
    <col min="12" max="12" width="11" bestFit="1" customWidth="1"/>
    <col min="13" max="13" width="22.83203125" bestFit="1" customWidth="1"/>
    <col min="14" max="14" width="13.83203125" bestFit="1" customWidth="1"/>
    <col min="15" max="15" width="32" bestFit="1" customWidth="1"/>
    <col min="16" max="16" width="21.5" bestFit="1" customWidth="1"/>
    <col min="17" max="17" width="28" bestFit="1" customWidth="1"/>
    <col min="18" max="19" width="20.5" bestFit="1" customWidth="1"/>
    <col min="20" max="20" width="22.1640625" bestFit="1" customWidth="1"/>
    <col min="21" max="21" width="23.1640625" bestFit="1" customWidth="1"/>
    <col min="22" max="22" width="20.33203125" bestFit="1" customWidth="1"/>
    <col min="23" max="23" width="23" bestFit="1" customWidth="1"/>
    <col min="24" max="24" width="19.5" bestFit="1" customWidth="1"/>
    <col min="25" max="25" width="21.83203125" bestFit="1" customWidth="1"/>
    <col min="26" max="26" width="27.5" bestFit="1" customWidth="1"/>
    <col min="27" max="27" width="21.1640625" bestFit="1" customWidth="1"/>
    <col min="28" max="28" width="29.5" bestFit="1" customWidth="1"/>
  </cols>
  <sheetData>
    <row r="1" spans="1:28" ht="16" customHeight="1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12" t="s">
        <v>9</v>
      </c>
      <c r="K1" s="12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3" t="s">
        <v>17</v>
      </c>
      <c r="S1" s="3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 spans="1:28" ht="16" customHeight="1" x14ac:dyDescent="0.2">
      <c r="A2" t="s">
        <v>28</v>
      </c>
      <c r="B2" t="s">
        <v>29</v>
      </c>
      <c r="C2" t="s">
        <v>30</v>
      </c>
      <c r="D2" t="s">
        <v>31</v>
      </c>
      <c r="E2" t="s">
        <v>32</v>
      </c>
      <c r="F2" t="s">
        <v>33</v>
      </c>
      <c r="G2" t="s">
        <v>34</v>
      </c>
      <c r="H2" s="15">
        <v>250</v>
      </c>
      <c r="I2" s="15">
        <f t="shared" ref="I2:I15" si="0">IF(H2=0, 0, -LOG10(H2*10^-6))</f>
        <v>3.6020599913279625</v>
      </c>
      <c r="J2" s="17">
        <v>1.04</v>
      </c>
      <c r="K2" s="17">
        <v>536000</v>
      </c>
      <c r="L2" s="11" t="s">
        <v>35</v>
      </c>
      <c r="M2" s="11" t="s">
        <v>35</v>
      </c>
      <c r="N2" s="14">
        <v>65</v>
      </c>
      <c r="O2" s="11">
        <v>250.69</v>
      </c>
      <c r="P2" s="13">
        <v>5.1779999999999999</v>
      </c>
      <c r="Q2" s="11">
        <f t="shared" ref="Q2:Q65" si="1">IF(ISNUMBER(P2),12.5*P2,"-")</f>
        <v>64.724999999999994</v>
      </c>
      <c r="R2" s="20">
        <f t="shared" ref="R2:R65" si="2">IF(OR(Q2="-",O2="",O2=0),"-",Q2/O2*100)</f>
        <v>25.818740276835932</v>
      </c>
      <c r="S2" s="20">
        <f t="shared" ref="S2:S65" si="3">IF(R2="-","-",R2/100)</f>
        <v>0.25818740276835933</v>
      </c>
      <c r="T2" s="15">
        <f t="shared" ref="T2:T65" si="4">IF(H2="no data","no data",IF(OR(H2="",S2="-",S2=""),"-",H2*S2))</f>
        <v>64.546850692089834</v>
      </c>
      <c r="U2" s="15">
        <f t="shared" ref="U2:U65" si="5">IF(T2="no data","no data",IF(T2="-","-",IF(T2="","",IF(T2=0,0,-LOG10(T2*10^-6)))))</f>
        <v>4.1901249425596534</v>
      </c>
      <c r="V2" s="21">
        <v>0.29099999999999998</v>
      </c>
      <c r="W2" s="20">
        <f t="shared" ref="W2:W65" si="6">IF(OR(NOT(ISNUMBER(P2)),P2=0),"-",43.15/P2+0.86)</f>
        <v>9.1933333333333334</v>
      </c>
      <c r="X2" s="20">
        <f t="shared" ref="X2:X65" si="7">IF(W2="-","-",31.74)</f>
        <v>31.74</v>
      </c>
      <c r="Y2" s="21">
        <f t="shared" ref="Y2:Y65" si="8">IF(OR(W2="-",X2="-"),"-",SQRT((W2/100)^2+(X2/100)^2)/LN(10))</f>
        <v>0.14351083419100302</v>
      </c>
      <c r="Z2" s="21">
        <f t="shared" ref="Z2:Z65" si="9">IF(OR(V2="-",Y2="-",U2="no data",U2="",U2="-"),"-",SQRT(V2^2+Y2^2))</f>
        <v>0.32446318671029162</v>
      </c>
      <c r="AA2" s="21">
        <f t="shared" ref="AA2:AA65" si="10">IF(V2="-","-",V2*1.96)</f>
        <v>0.57035999999999998</v>
      </c>
      <c r="AB2" s="21">
        <f t="shared" ref="AB2:AB65" si="11">IF(Z2="-","-",Z2*1.96)</f>
        <v>0.63594784595217158</v>
      </c>
    </row>
    <row r="3" spans="1:28" ht="16" customHeight="1" x14ac:dyDescent="0.2">
      <c r="A3" t="s">
        <v>28</v>
      </c>
      <c r="B3" t="s">
        <v>29</v>
      </c>
      <c r="C3" t="s">
        <v>36</v>
      </c>
      <c r="D3" t="s">
        <v>37</v>
      </c>
      <c r="E3" t="s">
        <v>32</v>
      </c>
      <c r="F3" t="s">
        <v>38</v>
      </c>
      <c r="G3" t="s">
        <v>34</v>
      </c>
      <c r="H3" s="15">
        <v>18300</v>
      </c>
      <c r="I3" s="15">
        <f t="shared" si="0"/>
        <v>1.7375489102695705</v>
      </c>
      <c r="J3" s="17">
        <v>1.1499999999999999</v>
      </c>
      <c r="K3" s="17">
        <v>523000</v>
      </c>
      <c r="L3" s="11" t="s">
        <v>35</v>
      </c>
      <c r="M3" s="11" t="s">
        <v>35</v>
      </c>
      <c r="N3" s="14">
        <v>65</v>
      </c>
      <c r="O3" s="11">
        <v>249.79</v>
      </c>
      <c r="P3" s="13">
        <v>13.285</v>
      </c>
      <c r="Q3" s="11">
        <f t="shared" si="1"/>
        <v>166.0625</v>
      </c>
      <c r="R3" s="20">
        <f t="shared" si="2"/>
        <v>66.480843908883472</v>
      </c>
      <c r="S3" s="20">
        <f t="shared" si="3"/>
        <v>0.66480843908883469</v>
      </c>
      <c r="T3" s="15">
        <f t="shared" si="4"/>
        <v>12165.994435325674</v>
      </c>
      <c r="U3" s="15">
        <f t="shared" si="5"/>
        <v>1.9148523865175067</v>
      </c>
      <c r="V3" s="21">
        <v>0.51800000000000002</v>
      </c>
      <c r="W3" s="20">
        <f t="shared" si="6"/>
        <v>4.1080240873165224</v>
      </c>
      <c r="X3" s="20">
        <f t="shared" si="7"/>
        <v>31.74</v>
      </c>
      <c r="Y3" s="21">
        <f t="shared" si="8"/>
        <v>0.13899482515698275</v>
      </c>
      <c r="Z3" s="21">
        <f t="shared" si="9"/>
        <v>0.53632411974515948</v>
      </c>
      <c r="AA3" s="21">
        <f t="shared" si="10"/>
        <v>1.01528</v>
      </c>
      <c r="AB3" s="21">
        <f t="shared" si="11"/>
        <v>1.0511952747005127</v>
      </c>
    </row>
    <row r="4" spans="1:28" ht="16" customHeight="1" x14ac:dyDescent="0.2">
      <c r="A4" t="s">
        <v>28</v>
      </c>
      <c r="B4" t="s">
        <v>29</v>
      </c>
      <c r="C4" t="s">
        <v>39</v>
      </c>
      <c r="D4" t="s">
        <v>40</v>
      </c>
      <c r="E4" t="s">
        <v>32</v>
      </c>
      <c r="F4" t="s">
        <v>33</v>
      </c>
      <c r="G4" t="s">
        <v>34</v>
      </c>
      <c r="H4" s="15">
        <v>4.99</v>
      </c>
      <c r="I4" s="15">
        <f t="shared" si="0"/>
        <v>5.3018994543766098</v>
      </c>
      <c r="J4" s="17">
        <v>0.59299999999999997</v>
      </c>
      <c r="K4" s="17">
        <v>351000</v>
      </c>
      <c r="L4" s="11" t="s">
        <v>35</v>
      </c>
      <c r="M4" s="11" t="s">
        <v>35</v>
      </c>
      <c r="N4" s="14">
        <v>65</v>
      </c>
      <c r="O4" s="11">
        <v>250</v>
      </c>
      <c r="P4" s="13">
        <v>19.722000000000001</v>
      </c>
      <c r="Q4" s="11">
        <f t="shared" si="1"/>
        <v>246.52500000000001</v>
      </c>
      <c r="R4" s="20">
        <f t="shared" si="2"/>
        <v>98.61</v>
      </c>
      <c r="S4" s="20">
        <f t="shared" si="3"/>
        <v>0.98609999999999998</v>
      </c>
      <c r="T4" s="15">
        <f t="shared" si="4"/>
        <v>4.9206390000000004</v>
      </c>
      <c r="U4" s="15">
        <f t="shared" si="5"/>
        <v>5.3079784955753233</v>
      </c>
      <c r="V4" s="21">
        <v>7.9100000000000004E-2</v>
      </c>
      <c r="W4" s="20">
        <f t="shared" si="6"/>
        <v>3.0479119764729741</v>
      </c>
      <c r="X4" s="20">
        <f t="shared" si="7"/>
        <v>31.74</v>
      </c>
      <c r="Y4" s="21">
        <f t="shared" si="8"/>
        <v>0.13847916379353756</v>
      </c>
      <c r="Z4" s="21">
        <f t="shared" si="9"/>
        <v>0.15947817657898339</v>
      </c>
      <c r="AA4" s="21">
        <f t="shared" si="10"/>
        <v>0.15503600000000001</v>
      </c>
      <c r="AB4" s="21">
        <f t="shared" si="11"/>
        <v>0.31257722609480743</v>
      </c>
    </row>
    <row r="5" spans="1:28" ht="16" customHeight="1" x14ac:dyDescent="0.2">
      <c r="A5" t="s">
        <v>28</v>
      </c>
      <c r="B5" t="s">
        <v>29</v>
      </c>
      <c r="C5" t="s">
        <v>41</v>
      </c>
      <c r="D5" t="s">
        <v>42</v>
      </c>
      <c r="E5" t="s">
        <v>32</v>
      </c>
      <c r="F5" t="s">
        <v>33</v>
      </c>
      <c r="G5" t="s">
        <v>34</v>
      </c>
      <c r="H5" s="15">
        <v>74.5</v>
      </c>
      <c r="I5" s="15">
        <f t="shared" si="0"/>
        <v>4.1278437272517072</v>
      </c>
      <c r="J5" s="17">
        <v>0.70399999999999996</v>
      </c>
      <c r="K5" s="17">
        <v>355000</v>
      </c>
      <c r="L5" s="11" t="s">
        <v>35</v>
      </c>
      <c r="M5" s="11" t="s">
        <v>35</v>
      </c>
      <c r="N5" s="14">
        <v>65</v>
      </c>
      <c r="O5" s="11">
        <v>250.1</v>
      </c>
      <c r="P5" s="13">
        <v>9.5839999999999996</v>
      </c>
      <c r="Q5" s="11">
        <f t="shared" si="1"/>
        <v>119.8</v>
      </c>
      <c r="R5" s="20">
        <f t="shared" si="2"/>
        <v>47.900839664134345</v>
      </c>
      <c r="S5" s="20">
        <f t="shared" si="3"/>
        <v>0.47900839664134343</v>
      </c>
      <c r="T5" s="15">
        <f t="shared" si="4"/>
        <v>35.686125549780087</v>
      </c>
      <c r="U5" s="15">
        <f t="shared" si="5"/>
        <v>4.4475006009289171</v>
      </c>
      <c r="V5" s="21">
        <v>0.27300000000000002</v>
      </c>
      <c r="W5" s="20">
        <f t="shared" si="6"/>
        <v>5.3622954924874797</v>
      </c>
      <c r="X5" s="20">
        <f t="shared" si="7"/>
        <v>31.74</v>
      </c>
      <c r="Y5" s="21">
        <f t="shared" si="8"/>
        <v>0.13979842994570241</v>
      </c>
      <c r="Z5" s="21">
        <f t="shared" si="9"/>
        <v>0.30671257068350405</v>
      </c>
      <c r="AA5" s="21">
        <f t="shared" si="10"/>
        <v>0.53508</v>
      </c>
      <c r="AB5" s="21">
        <f t="shared" si="11"/>
        <v>0.60115663853966794</v>
      </c>
    </row>
    <row r="6" spans="1:28" ht="16" customHeight="1" x14ac:dyDescent="0.2">
      <c r="A6" t="s">
        <v>28</v>
      </c>
      <c r="B6" t="s">
        <v>29</v>
      </c>
      <c r="C6" t="s">
        <v>43</v>
      </c>
      <c r="D6" t="s">
        <v>44</v>
      </c>
      <c r="E6" t="s">
        <v>32</v>
      </c>
      <c r="F6" t="s">
        <v>33</v>
      </c>
      <c r="G6" t="s">
        <v>34</v>
      </c>
      <c r="H6" s="15">
        <v>30.6</v>
      </c>
      <c r="I6" s="15">
        <f t="shared" si="0"/>
        <v>4.5142785735184203</v>
      </c>
      <c r="J6" s="17">
        <v>0.67300000000000004</v>
      </c>
      <c r="K6" s="17">
        <v>384000</v>
      </c>
      <c r="L6" s="11" t="s">
        <v>35</v>
      </c>
      <c r="M6" s="11" t="s">
        <v>35</v>
      </c>
      <c r="N6" s="14">
        <v>65</v>
      </c>
      <c r="O6" s="11">
        <v>249.63</v>
      </c>
      <c r="P6" s="13">
        <v>3.2050000000000001</v>
      </c>
      <c r="Q6" s="11">
        <f t="shared" si="1"/>
        <v>40.0625</v>
      </c>
      <c r="R6" s="20">
        <f t="shared" si="2"/>
        <v>16.048752153186715</v>
      </c>
      <c r="S6" s="20">
        <f t="shared" si="3"/>
        <v>0.16048752153186716</v>
      </c>
      <c r="T6" s="15">
        <f t="shared" si="4"/>
        <v>4.9109181588751349</v>
      </c>
      <c r="U6" s="15">
        <f t="shared" si="5"/>
        <v>5.3088373033852125</v>
      </c>
      <c r="V6" s="21">
        <v>0.157</v>
      </c>
      <c r="W6" s="20">
        <f t="shared" si="6"/>
        <v>14.323338533541341</v>
      </c>
      <c r="X6" s="20">
        <f t="shared" si="7"/>
        <v>31.74</v>
      </c>
      <c r="Y6" s="21">
        <f t="shared" si="8"/>
        <v>0.15123089394450315</v>
      </c>
      <c r="Z6" s="21">
        <f t="shared" si="9"/>
        <v>0.21799032841677532</v>
      </c>
      <c r="AA6" s="21">
        <f t="shared" si="10"/>
        <v>0.30771999999999999</v>
      </c>
      <c r="AB6" s="21">
        <f t="shared" si="11"/>
        <v>0.42726104369687962</v>
      </c>
    </row>
    <row r="7" spans="1:28" ht="16" customHeight="1" x14ac:dyDescent="0.2">
      <c r="A7" t="s">
        <v>28</v>
      </c>
      <c r="B7" t="s">
        <v>29</v>
      </c>
      <c r="C7" t="s">
        <v>45</v>
      </c>
      <c r="D7" t="s">
        <v>46</v>
      </c>
      <c r="E7" t="s">
        <v>32</v>
      </c>
      <c r="F7" t="s">
        <v>33</v>
      </c>
      <c r="G7" t="s">
        <v>34</v>
      </c>
      <c r="H7" s="15">
        <v>270</v>
      </c>
      <c r="I7" s="15">
        <f t="shared" si="0"/>
        <v>3.5686362358410126</v>
      </c>
      <c r="J7" s="17">
        <v>0.97299999999999998</v>
      </c>
      <c r="K7" s="17">
        <v>457000</v>
      </c>
      <c r="L7" s="11" t="s">
        <v>35</v>
      </c>
      <c r="M7" s="11" t="s">
        <v>35</v>
      </c>
      <c r="N7" s="14">
        <v>65</v>
      </c>
      <c r="O7" s="11">
        <v>249.84</v>
      </c>
      <c r="P7" s="13">
        <v>18.908000000000001</v>
      </c>
      <c r="Q7" s="11">
        <f t="shared" si="1"/>
        <v>236.35000000000002</v>
      </c>
      <c r="R7" s="20">
        <f t="shared" si="2"/>
        <v>94.600544348382982</v>
      </c>
      <c r="S7" s="20">
        <f t="shared" si="3"/>
        <v>0.94600544348382987</v>
      </c>
      <c r="T7" s="15">
        <f t="shared" si="4"/>
        <v>255.42146974063405</v>
      </c>
      <c r="U7" s="15">
        <f t="shared" si="5"/>
        <v>3.5927426004242222</v>
      </c>
      <c r="V7" s="21">
        <v>0.29599999999999999</v>
      </c>
      <c r="W7" s="20">
        <f t="shared" si="6"/>
        <v>3.1421028136238625</v>
      </c>
      <c r="X7" s="20">
        <f t="shared" si="7"/>
        <v>31.74</v>
      </c>
      <c r="Y7" s="21">
        <f t="shared" si="8"/>
        <v>0.138518863956483</v>
      </c>
      <c r="Z7" s="21">
        <f t="shared" si="9"/>
        <v>0.32680801041558732</v>
      </c>
      <c r="AA7" s="21">
        <f t="shared" si="10"/>
        <v>0.58016000000000001</v>
      </c>
      <c r="AB7" s="21">
        <f t="shared" si="11"/>
        <v>0.64054370041455111</v>
      </c>
    </row>
    <row r="8" spans="1:28" ht="16" customHeight="1" x14ac:dyDescent="0.2">
      <c r="A8" t="s">
        <v>28</v>
      </c>
      <c r="B8" t="s">
        <v>29</v>
      </c>
      <c r="C8" t="s">
        <v>47</v>
      </c>
      <c r="D8" t="s">
        <v>48</v>
      </c>
      <c r="E8" t="s">
        <v>32</v>
      </c>
      <c r="F8" t="s">
        <v>33</v>
      </c>
      <c r="G8" t="s">
        <v>34</v>
      </c>
      <c r="H8" s="15">
        <v>8.31</v>
      </c>
      <c r="I8" s="15">
        <f t="shared" si="0"/>
        <v>5.0803989762158892</v>
      </c>
      <c r="J8" s="17">
        <v>0.67500000000000004</v>
      </c>
      <c r="K8" s="17">
        <v>344000</v>
      </c>
      <c r="L8" s="11" t="s">
        <v>35</v>
      </c>
      <c r="M8" s="11" t="s">
        <v>35</v>
      </c>
      <c r="N8" s="14">
        <v>65</v>
      </c>
      <c r="O8" s="11">
        <v>250.17</v>
      </c>
      <c r="P8" s="13">
        <v>20.303000000000001</v>
      </c>
      <c r="Q8" s="11">
        <f t="shared" si="1"/>
        <v>253.78750000000002</v>
      </c>
      <c r="R8" s="20">
        <f t="shared" si="2"/>
        <v>101.44601670863813</v>
      </c>
      <c r="S8" s="20">
        <f t="shared" si="3"/>
        <v>1.0144601670863813</v>
      </c>
      <c r="T8" s="15">
        <f t="shared" si="4"/>
        <v>8.4301639884878288</v>
      </c>
      <c r="U8" s="15">
        <f t="shared" si="5"/>
        <v>5.0741639771424394</v>
      </c>
      <c r="V8" s="21">
        <v>0.104</v>
      </c>
      <c r="W8" s="20">
        <f t="shared" si="6"/>
        <v>2.9853016795547451</v>
      </c>
      <c r="X8" s="20">
        <f t="shared" si="7"/>
        <v>31.74</v>
      </c>
      <c r="Y8" s="21">
        <f t="shared" si="8"/>
        <v>0.13845343680178407</v>
      </c>
      <c r="Z8" s="21">
        <f t="shared" si="9"/>
        <v>0.17316279670363843</v>
      </c>
      <c r="AA8" s="21">
        <f t="shared" si="10"/>
        <v>0.20383999999999999</v>
      </c>
      <c r="AB8" s="21">
        <f t="shared" si="11"/>
        <v>0.33939908153913134</v>
      </c>
    </row>
    <row r="9" spans="1:28" ht="16" customHeight="1" x14ac:dyDescent="0.2">
      <c r="A9" t="s">
        <v>28</v>
      </c>
      <c r="B9" t="s">
        <v>29</v>
      </c>
      <c r="C9" t="s">
        <v>49</v>
      </c>
      <c r="D9" t="s">
        <v>50</v>
      </c>
      <c r="E9" t="s">
        <v>32</v>
      </c>
      <c r="F9" t="s">
        <v>33</v>
      </c>
      <c r="G9" t="s">
        <v>34</v>
      </c>
      <c r="H9" s="15">
        <v>524</v>
      </c>
      <c r="I9" s="15">
        <f t="shared" si="0"/>
        <v>3.2806687130162735</v>
      </c>
      <c r="J9" s="17">
        <v>1.1499999999999999</v>
      </c>
      <c r="K9" s="17">
        <v>525000</v>
      </c>
      <c r="L9" s="11" t="s">
        <v>35</v>
      </c>
      <c r="M9" s="11" t="s">
        <v>35</v>
      </c>
      <c r="N9" s="14">
        <v>65</v>
      </c>
      <c r="O9" s="11">
        <v>249.69</v>
      </c>
      <c r="P9" s="13">
        <v>14.792</v>
      </c>
      <c r="Q9" s="11">
        <f t="shared" si="1"/>
        <v>184.9</v>
      </c>
      <c r="R9" s="20">
        <f t="shared" si="2"/>
        <v>74.051824262084992</v>
      </c>
      <c r="S9" s="20">
        <f t="shared" si="3"/>
        <v>0.74051824262084986</v>
      </c>
      <c r="T9" s="15">
        <f t="shared" si="4"/>
        <v>388.03155913332535</v>
      </c>
      <c r="U9" s="15">
        <f t="shared" si="5"/>
        <v>3.4111329512097113</v>
      </c>
      <c r="V9" s="21">
        <v>0.28699999999999998</v>
      </c>
      <c r="W9" s="20">
        <f t="shared" si="6"/>
        <v>3.7771173607355326</v>
      </c>
      <c r="X9" s="20">
        <f t="shared" si="7"/>
        <v>31.74</v>
      </c>
      <c r="Y9" s="21">
        <f t="shared" si="8"/>
        <v>0.13881767892567284</v>
      </c>
      <c r="Z9" s="21">
        <f t="shared" si="9"/>
        <v>0.31880926583509328</v>
      </c>
      <c r="AA9" s="21">
        <f t="shared" si="10"/>
        <v>0.56251999999999991</v>
      </c>
      <c r="AB9" s="21">
        <f t="shared" si="11"/>
        <v>0.62486616103678283</v>
      </c>
    </row>
    <row r="10" spans="1:28" ht="16" customHeight="1" x14ac:dyDescent="0.2">
      <c r="A10" t="s">
        <v>28</v>
      </c>
      <c r="B10" t="s">
        <v>29</v>
      </c>
      <c r="C10" t="s">
        <v>51</v>
      </c>
      <c r="D10" t="s">
        <v>52</v>
      </c>
      <c r="E10" t="s">
        <v>32</v>
      </c>
      <c r="F10" t="s">
        <v>38</v>
      </c>
      <c r="G10" t="s">
        <v>34</v>
      </c>
      <c r="H10" s="15">
        <v>18800</v>
      </c>
      <c r="I10" s="15">
        <f t="shared" si="0"/>
        <v>1.7258421507363202</v>
      </c>
      <c r="J10" s="17">
        <v>1.1499999999999999</v>
      </c>
      <c r="K10" s="17">
        <v>525000</v>
      </c>
      <c r="L10" s="11" t="s">
        <v>35</v>
      </c>
      <c r="M10" s="11" t="s">
        <v>35</v>
      </c>
      <c r="N10" s="14">
        <v>65</v>
      </c>
      <c r="O10" s="11">
        <v>250.64</v>
      </c>
      <c r="P10" s="13">
        <v>18.167000000000002</v>
      </c>
      <c r="Q10" s="11">
        <f t="shared" si="1"/>
        <v>227.08750000000003</v>
      </c>
      <c r="R10" s="20">
        <f t="shared" si="2"/>
        <v>90.603056176188971</v>
      </c>
      <c r="S10" s="20">
        <f t="shared" si="3"/>
        <v>0.90603056176188967</v>
      </c>
      <c r="T10" s="15">
        <f t="shared" si="4"/>
        <v>17033.374561123524</v>
      </c>
      <c r="U10" s="15">
        <f t="shared" si="5"/>
        <v>1.7686993034119489</v>
      </c>
      <c r="V10" s="21">
        <v>0.53700000000000003</v>
      </c>
      <c r="W10" s="20">
        <f t="shared" si="6"/>
        <v>3.2351857764077718</v>
      </c>
      <c r="X10" s="20">
        <f t="shared" si="7"/>
        <v>31.74</v>
      </c>
      <c r="Y10" s="21">
        <f t="shared" si="8"/>
        <v>0.13855927244754862</v>
      </c>
      <c r="Z10" s="21">
        <f t="shared" si="9"/>
        <v>0.5545878397343329</v>
      </c>
      <c r="AA10" s="21">
        <f t="shared" si="10"/>
        <v>1.0525200000000001</v>
      </c>
      <c r="AB10" s="21">
        <f t="shared" si="11"/>
        <v>1.0869921658792925</v>
      </c>
    </row>
    <row r="11" spans="1:28" ht="16" customHeight="1" x14ac:dyDescent="0.2">
      <c r="A11" t="s">
        <v>28</v>
      </c>
      <c r="B11" t="s">
        <v>29</v>
      </c>
      <c r="C11" t="s">
        <v>53</v>
      </c>
      <c r="D11" t="s">
        <v>54</v>
      </c>
      <c r="E11" t="s">
        <v>32</v>
      </c>
      <c r="F11" t="s">
        <v>33</v>
      </c>
      <c r="G11" t="s">
        <v>34</v>
      </c>
      <c r="H11" s="15">
        <v>53.8</v>
      </c>
      <c r="I11" s="15">
        <f t="shared" si="0"/>
        <v>4.2692177243336111</v>
      </c>
      <c r="J11" s="17">
        <v>1.2</v>
      </c>
      <c r="K11" s="17">
        <v>603000</v>
      </c>
      <c r="L11" s="11" t="s">
        <v>35</v>
      </c>
      <c r="M11" s="11" t="s">
        <v>55</v>
      </c>
      <c r="N11" s="14">
        <v>65</v>
      </c>
      <c r="O11" s="11">
        <v>249.27</v>
      </c>
      <c r="P11" s="23" t="s">
        <v>56</v>
      </c>
      <c r="Q11" s="11" t="str">
        <f t="shared" si="1"/>
        <v>-</v>
      </c>
      <c r="R11" s="24" t="str">
        <f t="shared" si="2"/>
        <v>-</v>
      </c>
      <c r="S11" s="20" t="str">
        <f t="shared" si="3"/>
        <v>-</v>
      </c>
      <c r="T11" s="15" t="str">
        <f t="shared" si="4"/>
        <v>-</v>
      </c>
      <c r="U11" s="15" t="str">
        <f t="shared" si="5"/>
        <v>-</v>
      </c>
      <c r="V11" s="21">
        <v>0.159</v>
      </c>
      <c r="W11" s="20" t="str">
        <f t="shared" si="6"/>
        <v>-</v>
      </c>
      <c r="X11" s="20" t="str">
        <f t="shared" si="7"/>
        <v>-</v>
      </c>
      <c r="Y11" s="21" t="str">
        <f t="shared" si="8"/>
        <v>-</v>
      </c>
      <c r="Z11" s="21" t="str">
        <f t="shared" si="9"/>
        <v>-</v>
      </c>
      <c r="AA11" s="21">
        <f t="shared" si="10"/>
        <v>0.31163999999999997</v>
      </c>
      <c r="AB11" s="21" t="str">
        <f t="shared" si="11"/>
        <v>-</v>
      </c>
    </row>
    <row r="12" spans="1:28" ht="16" customHeight="1" x14ac:dyDescent="0.2">
      <c r="A12" t="s">
        <v>28</v>
      </c>
      <c r="B12" t="s">
        <v>29</v>
      </c>
      <c r="C12" t="s">
        <v>57</v>
      </c>
      <c r="D12" t="s">
        <v>58</v>
      </c>
      <c r="E12" t="s">
        <v>32</v>
      </c>
      <c r="F12" t="s">
        <v>33</v>
      </c>
      <c r="G12" t="s">
        <v>34</v>
      </c>
      <c r="H12" s="15">
        <v>12.4</v>
      </c>
      <c r="I12" s="15">
        <f t="shared" si="0"/>
        <v>4.9065783148377653</v>
      </c>
      <c r="J12" s="17">
        <v>0.53700000000000003</v>
      </c>
      <c r="K12" s="17">
        <v>328000</v>
      </c>
      <c r="L12" s="11" t="s">
        <v>35</v>
      </c>
      <c r="M12" s="11" t="s">
        <v>35</v>
      </c>
      <c r="N12" s="14">
        <v>65</v>
      </c>
      <c r="O12" s="11">
        <v>250.06</v>
      </c>
      <c r="P12" s="13">
        <v>13.663</v>
      </c>
      <c r="Q12" s="11">
        <f t="shared" si="1"/>
        <v>170.78749999999999</v>
      </c>
      <c r="R12" s="20">
        <f t="shared" si="2"/>
        <v>68.298608333999837</v>
      </c>
      <c r="S12" s="20">
        <f t="shared" si="3"/>
        <v>0.68298608333999833</v>
      </c>
      <c r="T12" s="15">
        <f t="shared" si="4"/>
        <v>8.4690274334159792</v>
      </c>
      <c r="U12" s="15">
        <f t="shared" si="5"/>
        <v>5.0721664603366436</v>
      </c>
      <c r="V12" s="21">
        <v>6.7699999999999996E-2</v>
      </c>
      <c r="W12" s="20">
        <f t="shared" si="6"/>
        <v>4.018164385566859</v>
      </c>
      <c r="X12" s="20">
        <f t="shared" si="7"/>
        <v>31.74</v>
      </c>
      <c r="Y12" s="21">
        <f t="shared" si="8"/>
        <v>0.13894527223359804</v>
      </c>
      <c r="Z12" s="21">
        <f t="shared" si="9"/>
        <v>0.15456092221537976</v>
      </c>
      <c r="AA12" s="21">
        <f t="shared" si="10"/>
        <v>0.13269199999999998</v>
      </c>
      <c r="AB12" s="21">
        <f t="shared" si="11"/>
        <v>0.30293940754214432</v>
      </c>
    </row>
    <row r="13" spans="1:28" ht="16" customHeight="1" x14ac:dyDescent="0.2">
      <c r="A13" t="s">
        <v>28</v>
      </c>
      <c r="B13" t="s">
        <v>29</v>
      </c>
      <c r="C13" t="s">
        <v>59</v>
      </c>
      <c r="D13" t="s">
        <v>60</v>
      </c>
      <c r="E13" t="s">
        <v>32</v>
      </c>
      <c r="F13" t="s">
        <v>33</v>
      </c>
      <c r="G13" t="s">
        <v>34</v>
      </c>
      <c r="H13" s="15">
        <v>66.2</v>
      </c>
      <c r="I13" s="15">
        <f t="shared" si="0"/>
        <v>4.1791420105602999</v>
      </c>
      <c r="J13" s="17">
        <v>0.64700000000000002</v>
      </c>
      <c r="K13" s="17">
        <v>375000</v>
      </c>
      <c r="L13" s="11" t="s">
        <v>35</v>
      </c>
      <c r="M13" s="11" t="s">
        <v>35</v>
      </c>
      <c r="N13" s="14">
        <v>65</v>
      </c>
      <c r="O13" s="11">
        <v>249.15</v>
      </c>
      <c r="P13" s="13">
        <v>16.513999999999999</v>
      </c>
      <c r="Q13" s="11">
        <f t="shared" si="1"/>
        <v>206.42499999999998</v>
      </c>
      <c r="R13" s="20">
        <f t="shared" si="2"/>
        <v>82.85169576560304</v>
      </c>
      <c r="S13" s="20">
        <f t="shared" si="3"/>
        <v>0.8285169576560304</v>
      </c>
      <c r="T13" s="15">
        <f t="shared" si="4"/>
        <v>54.847822596829218</v>
      </c>
      <c r="U13" s="15">
        <f t="shared" si="5"/>
        <v>4.2608406087994259</v>
      </c>
      <c r="V13" s="21">
        <v>0.23300000000000001</v>
      </c>
      <c r="W13" s="20">
        <f t="shared" si="6"/>
        <v>3.472934479835291</v>
      </c>
      <c r="X13" s="20">
        <f t="shared" si="7"/>
        <v>31.74</v>
      </c>
      <c r="Y13" s="21">
        <f t="shared" si="8"/>
        <v>0.13866777801312385</v>
      </c>
      <c r="Z13" s="21">
        <f t="shared" si="9"/>
        <v>0.27114157309253961</v>
      </c>
      <c r="AA13" s="21">
        <f t="shared" si="10"/>
        <v>0.45668000000000003</v>
      </c>
      <c r="AB13" s="21">
        <f t="shared" si="11"/>
        <v>0.53143748326137763</v>
      </c>
    </row>
    <row r="14" spans="1:28" ht="16" customHeight="1" x14ac:dyDescent="0.2">
      <c r="A14" t="s">
        <v>28</v>
      </c>
      <c r="B14" t="s">
        <v>29</v>
      </c>
      <c r="C14" t="s">
        <v>61</v>
      </c>
      <c r="D14" t="s">
        <v>62</v>
      </c>
      <c r="E14" t="s">
        <v>32</v>
      </c>
      <c r="F14" t="s">
        <v>33</v>
      </c>
      <c r="G14" t="s">
        <v>34</v>
      </c>
      <c r="H14" s="15">
        <v>9.2799999999999994</v>
      </c>
      <c r="I14" s="15">
        <f t="shared" si="0"/>
        <v>5.0324520237811381</v>
      </c>
      <c r="J14" s="17">
        <v>0.69299999999999995</v>
      </c>
      <c r="K14" s="17">
        <v>351000</v>
      </c>
      <c r="L14" s="11" t="s">
        <v>35</v>
      </c>
      <c r="M14" s="11" t="s">
        <v>35</v>
      </c>
      <c r="N14" s="14">
        <v>65</v>
      </c>
      <c r="O14" s="11">
        <v>249.99</v>
      </c>
      <c r="P14" s="13">
        <v>6.8730000000000002</v>
      </c>
      <c r="Q14" s="11">
        <f t="shared" si="1"/>
        <v>85.912500000000009</v>
      </c>
      <c r="R14" s="20">
        <f t="shared" si="2"/>
        <v>34.366374654986203</v>
      </c>
      <c r="S14" s="20">
        <f t="shared" si="3"/>
        <v>0.34366374654986204</v>
      </c>
      <c r="T14" s="15">
        <f t="shared" si="4"/>
        <v>3.1891995679827194</v>
      </c>
      <c r="U14" s="15">
        <f t="shared" si="5"/>
        <v>5.4963183034093381</v>
      </c>
      <c r="V14" s="21">
        <v>9.7500000000000003E-2</v>
      </c>
      <c r="W14" s="20">
        <f t="shared" si="6"/>
        <v>7.1381900189145933</v>
      </c>
      <c r="X14" s="20">
        <f t="shared" si="7"/>
        <v>31.74</v>
      </c>
      <c r="Y14" s="21">
        <f t="shared" si="8"/>
        <v>0.14128804046391974</v>
      </c>
      <c r="Z14" s="21">
        <f t="shared" si="9"/>
        <v>0.1716640916969365</v>
      </c>
      <c r="AA14" s="21">
        <f t="shared" si="10"/>
        <v>0.19109999999999999</v>
      </c>
      <c r="AB14" s="21">
        <f t="shared" si="11"/>
        <v>0.33646161972599553</v>
      </c>
    </row>
    <row r="15" spans="1:28" ht="16" customHeight="1" x14ac:dyDescent="0.2">
      <c r="A15" t="s">
        <v>28</v>
      </c>
      <c r="B15" t="s">
        <v>29</v>
      </c>
      <c r="C15" t="s">
        <v>63</v>
      </c>
      <c r="D15" t="s">
        <v>64</v>
      </c>
      <c r="E15" t="s">
        <v>32</v>
      </c>
      <c r="F15" t="s">
        <v>33</v>
      </c>
      <c r="G15" t="s">
        <v>34</v>
      </c>
      <c r="H15" s="15">
        <v>68</v>
      </c>
      <c r="I15" s="15">
        <f t="shared" si="0"/>
        <v>4.1674910872937634</v>
      </c>
      <c r="J15" s="17">
        <v>0.77500000000000002</v>
      </c>
      <c r="K15" s="17">
        <v>426000</v>
      </c>
      <c r="L15" s="11" t="s">
        <v>35</v>
      </c>
      <c r="M15" s="11" t="s">
        <v>35</v>
      </c>
      <c r="N15" s="14">
        <v>65</v>
      </c>
      <c r="O15" s="11">
        <v>251.04</v>
      </c>
      <c r="P15" s="13">
        <v>2.0680000000000001</v>
      </c>
      <c r="Q15" s="11">
        <f t="shared" si="1"/>
        <v>25.85</v>
      </c>
      <c r="R15" s="20">
        <f t="shared" si="2"/>
        <v>10.297163798597834</v>
      </c>
      <c r="S15" s="20">
        <f t="shared" si="3"/>
        <v>0.10297163798597835</v>
      </c>
      <c r="T15" s="15">
        <f t="shared" si="4"/>
        <v>7.0020713830465278</v>
      </c>
      <c r="U15" s="15">
        <f t="shared" si="5"/>
        <v>5.154773466106664</v>
      </c>
      <c r="V15" s="21">
        <v>0.26900000000000002</v>
      </c>
      <c r="W15" s="20">
        <f t="shared" si="6"/>
        <v>21.72557059961315</v>
      </c>
      <c r="X15" s="20">
        <f t="shared" si="7"/>
        <v>31.74</v>
      </c>
      <c r="Y15" s="21">
        <f t="shared" si="8"/>
        <v>0.16704413460479361</v>
      </c>
      <c r="Z15" s="21">
        <f t="shared" si="9"/>
        <v>0.31664608462108673</v>
      </c>
      <c r="AA15" s="21">
        <f t="shared" si="10"/>
        <v>0.52724000000000004</v>
      </c>
      <c r="AB15" s="21">
        <f t="shared" si="11"/>
        <v>0.62062632585733002</v>
      </c>
    </row>
    <row r="16" spans="1:28" ht="16" customHeight="1" x14ac:dyDescent="0.2">
      <c r="A16" t="s">
        <v>28</v>
      </c>
      <c r="B16" t="s">
        <v>29</v>
      </c>
      <c r="C16" t="s">
        <v>65</v>
      </c>
      <c r="D16" t="s">
        <v>66</v>
      </c>
      <c r="E16" t="s">
        <v>32</v>
      </c>
      <c r="F16" t="s">
        <v>38</v>
      </c>
      <c r="G16" t="s">
        <v>34</v>
      </c>
      <c r="H16" s="16" t="s">
        <v>67</v>
      </c>
      <c r="I16" s="16" t="s">
        <v>67</v>
      </c>
      <c r="J16" s="18" t="s">
        <v>67</v>
      </c>
      <c r="K16" s="18" t="s">
        <v>67</v>
      </c>
      <c r="L16" s="11" t="s">
        <v>35</v>
      </c>
      <c r="M16" s="11" t="s">
        <v>35</v>
      </c>
      <c r="N16" s="14">
        <v>65</v>
      </c>
      <c r="O16" s="11">
        <v>249.71</v>
      </c>
      <c r="P16" s="13">
        <v>8.3550000000000004</v>
      </c>
      <c r="Q16" s="11">
        <f t="shared" si="1"/>
        <v>104.4375</v>
      </c>
      <c r="R16" s="20">
        <f t="shared" si="2"/>
        <v>41.823515277722159</v>
      </c>
      <c r="S16" s="20">
        <f t="shared" si="3"/>
        <v>0.41823515277722156</v>
      </c>
      <c r="T16" s="15" t="str">
        <f t="shared" si="4"/>
        <v>no data</v>
      </c>
      <c r="U16" s="15" t="str">
        <f t="shared" si="5"/>
        <v>no data</v>
      </c>
      <c r="V16" s="22" t="s">
        <v>68</v>
      </c>
      <c r="W16" s="20">
        <f t="shared" si="6"/>
        <v>6.0245721125074807</v>
      </c>
      <c r="X16" s="20">
        <f t="shared" si="7"/>
        <v>31.74</v>
      </c>
      <c r="Y16" s="21">
        <f t="shared" si="8"/>
        <v>0.14030622911347862</v>
      </c>
      <c r="Z16" s="21" t="str">
        <f t="shared" si="9"/>
        <v>-</v>
      </c>
      <c r="AA16" s="21" t="str">
        <f t="shared" si="10"/>
        <v>-</v>
      </c>
      <c r="AB16" s="21" t="str">
        <f t="shared" si="11"/>
        <v>-</v>
      </c>
    </row>
    <row r="17" spans="1:28" ht="16" customHeight="1" x14ac:dyDescent="0.2">
      <c r="A17" t="s">
        <v>28</v>
      </c>
      <c r="B17" t="s">
        <v>29</v>
      </c>
      <c r="C17" t="s">
        <v>69</v>
      </c>
      <c r="D17" t="s">
        <v>70</v>
      </c>
      <c r="E17" t="s">
        <v>32</v>
      </c>
      <c r="F17" t="s">
        <v>33</v>
      </c>
      <c r="G17" t="s">
        <v>34</v>
      </c>
      <c r="H17" s="16" t="s">
        <v>67</v>
      </c>
      <c r="I17" s="16" t="s">
        <v>67</v>
      </c>
      <c r="J17" s="18" t="s">
        <v>67</v>
      </c>
      <c r="K17" s="18" t="s">
        <v>67</v>
      </c>
      <c r="L17" s="11" t="s">
        <v>35</v>
      </c>
      <c r="M17" s="11" t="s">
        <v>35</v>
      </c>
      <c r="N17" s="14">
        <v>65</v>
      </c>
      <c r="O17" s="11">
        <v>249.69</v>
      </c>
      <c r="P17" s="13">
        <v>11.377000000000001</v>
      </c>
      <c r="Q17" s="11">
        <f t="shared" si="1"/>
        <v>142.21250000000001</v>
      </c>
      <c r="R17" s="20">
        <f t="shared" si="2"/>
        <v>56.955624974968963</v>
      </c>
      <c r="S17" s="20">
        <f t="shared" si="3"/>
        <v>0.56955624974968966</v>
      </c>
      <c r="T17" s="15" t="str">
        <f t="shared" si="4"/>
        <v>no data</v>
      </c>
      <c r="U17" s="15" t="str">
        <f t="shared" si="5"/>
        <v>no data</v>
      </c>
      <c r="V17" s="22" t="s">
        <v>68</v>
      </c>
      <c r="W17" s="20">
        <f t="shared" si="6"/>
        <v>4.652739738068032</v>
      </c>
      <c r="X17" s="20">
        <f t="shared" si="7"/>
        <v>31.74</v>
      </c>
      <c r="Y17" s="21">
        <f t="shared" si="8"/>
        <v>0.13931823026098655</v>
      </c>
      <c r="Z17" s="21" t="str">
        <f t="shared" si="9"/>
        <v>-</v>
      </c>
      <c r="AA17" s="21" t="str">
        <f t="shared" si="10"/>
        <v>-</v>
      </c>
      <c r="AB17" s="21" t="str">
        <f t="shared" si="11"/>
        <v>-</v>
      </c>
    </row>
    <row r="18" spans="1:28" ht="16" customHeight="1" x14ac:dyDescent="0.2">
      <c r="A18" t="s">
        <v>28</v>
      </c>
      <c r="B18" t="s">
        <v>29</v>
      </c>
      <c r="C18" t="s">
        <v>71</v>
      </c>
      <c r="D18" t="s">
        <v>72</v>
      </c>
      <c r="E18" t="s">
        <v>32</v>
      </c>
      <c r="F18" t="s">
        <v>38</v>
      </c>
      <c r="G18" t="s">
        <v>34</v>
      </c>
      <c r="H18" s="15">
        <v>18700</v>
      </c>
      <c r="I18" s="15">
        <f t="shared" ref="I18:I29" si="12">IF(H18=0, 0, -LOG10(H18*10^-6))</f>
        <v>1.728158393463501</v>
      </c>
      <c r="J18" s="17">
        <v>1.1399999999999999</v>
      </c>
      <c r="K18" s="17">
        <v>586000</v>
      </c>
      <c r="L18" s="11" t="s">
        <v>35</v>
      </c>
      <c r="M18" s="11" t="s">
        <v>35</v>
      </c>
      <c r="N18" s="14">
        <v>65</v>
      </c>
      <c r="O18" s="11">
        <v>250.6</v>
      </c>
      <c r="P18" s="13">
        <v>15.694000000000001</v>
      </c>
      <c r="Q18" s="11">
        <f t="shared" si="1"/>
        <v>196.17500000000001</v>
      </c>
      <c r="R18" s="20">
        <f t="shared" si="2"/>
        <v>78.282122905027933</v>
      </c>
      <c r="S18" s="20">
        <f t="shared" si="3"/>
        <v>0.78282122905027929</v>
      </c>
      <c r="T18" s="15">
        <f t="shared" si="4"/>
        <v>14638.756983240222</v>
      </c>
      <c r="U18" s="15">
        <f t="shared" si="5"/>
        <v>1.8344957988403647</v>
      </c>
      <c r="V18" s="21">
        <v>0.53900000000000003</v>
      </c>
      <c r="W18" s="20">
        <f t="shared" si="6"/>
        <v>3.6094583917420668</v>
      </c>
      <c r="X18" s="20">
        <f t="shared" si="7"/>
        <v>31.74</v>
      </c>
      <c r="Y18" s="21">
        <f t="shared" si="8"/>
        <v>0.13873352091506852</v>
      </c>
      <c r="Z18" s="21">
        <f t="shared" si="9"/>
        <v>0.55656804599751486</v>
      </c>
      <c r="AA18" s="21">
        <f t="shared" si="10"/>
        <v>1.05644</v>
      </c>
      <c r="AB18" s="21">
        <f t="shared" si="11"/>
        <v>1.0908733701551292</v>
      </c>
    </row>
    <row r="19" spans="1:28" ht="16" customHeight="1" x14ac:dyDescent="0.2">
      <c r="A19" t="s">
        <v>28</v>
      </c>
      <c r="B19" t="s">
        <v>29</v>
      </c>
      <c r="C19" t="s">
        <v>73</v>
      </c>
      <c r="D19" t="s">
        <v>74</v>
      </c>
      <c r="E19" t="s">
        <v>32</v>
      </c>
      <c r="F19" t="s">
        <v>33</v>
      </c>
      <c r="G19" t="s">
        <v>34</v>
      </c>
      <c r="H19" s="15">
        <v>13.4</v>
      </c>
      <c r="I19" s="15">
        <f t="shared" si="12"/>
        <v>4.8728952016351927</v>
      </c>
      <c r="J19" s="17">
        <v>0.51</v>
      </c>
      <c r="K19" s="17">
        <v>282000</v>
      </c>
      <c r="L19" s="11" t="s">
        <v>35</v>
      </c>
      <c r="M19" s="11" t="s">
        <v>35</v>
      </c>
      <c r="N19" s="14">
        <v>65</v>
      </c>
      <c r="O19" s="11">
        <v>250.42</v>
      </c>
      <c r="P19" s="13">
        <v>12.023999999999999</v>
      </c>
      <c r="Q19" s="11">
        <f t="shared" si="1"/>
        <v>150.29999999999998</v>
      </c>
      <c r="R19" s="20">
        <f t="shared" si="2"/>
        <v>60.01916779809919</v>
      </c>
      <c r="S19" s="20">
        <f t="shared" si="3"/>
        <v>0.60019167798099193</v>
      </c>
      <c r="T19" s="15">
        <f t="shared" si="4"/>
        <v>8.0425684849452921</v>
      </c>
      <c r="U19" s="15">
        <f t="shared" si="5"/>
        <v>5.094605232259104</v>
      </c>
      <c r="V19" s="21">
        <v>0.115</v>
      </c>
      <c r="W19" s="20">
        <f t="shared" si="6"/>
        <v>4.448656021290752</v>
      </c>
      <c r="X19" s="20">
        <f t="shared" si="7"/>
        <v>31.74</v>
      </c>
      <c r="Y19" s="21">
        <f t="shared" si="8"/>
        <v>0.13919244112420751</v>
      </c>
      <c r="Z19" s="21">
        <f t="shared" si="9"/>
        <v>0.18055341499433339</v>
      </c>
      <c r="AA19" s="21">
        <f t="shared" si="10"/>
        <v>0.22540000000000002</v>
      </c>
      <c r="AB19" s="21">
        <f t="shared" si="11"/>
        <v>0.35388469338889345</v>
      </c>
    </row>
    <row r="20" spans="1:28" ht="16" customHeight="1" x14ac:dyDescent="0.2">
      <c r="A20" t="s">
        <v>28</v>
      </c>
      <c r="B20" t="s">
        <v>29</v>
      </c>
      <c r="C20" t="s">
        <v>75</v>
      </c>
      <c r="D20" t="s">
        <v>76</v>
      </c>
      <c r="E20" t="s">
        <v>32</v>
      </c>
      <c r="F20" t="s">
        <v>38</v>
      </c>
      <c r="G20" t="s">
        <v>34</v>
      </c>
      <c r="H20" s="15">
        <v>984</v>
      </c>
      <c r="I20" s="15">
        <f t="shared" si="12"/>
        <v>3.0070049015686586</v>
      </c>
      <c r="J20" s="17">
        <v>0.48699999999999999</v>
      </c>
      <c r="K20" s="17">
        <v>306000</v>
      </c>
      <c r="L20" s="11" t="s">
        <v>35</v>
      </c>
      <c r="M20" s="11" t="s">
        <v>35</v>
      </c>
      <c r="N20" s="14">
        <v>65</v>
      </c>
      <c r="O20" s="11">
        <v>250.62</v>
      </c>
      <c r="P20" s="13">
        <v>10.164999999999999</v>
      </c>
      <c r="Q20" s="11">
        <f t="shared" si="1"/>
        <v>127.06249999999999</v>
      </c>
      <c r="R20" s="20">
        <f t="shared" si="2"/>
        <v>50.699265820764495</v>
      </c>
      <c r="S20" s="20">
        <f t="shared" si="3"/>
        <v>0.50699265820764494</v>
      </c>
      <c r="T20" s="15">
        <f t="shared" si="4"/>
        <v>498.88077567632263</v>
      </c>
      <c r="U20" s="15">
        <f t="shared" si="5"/>
        <v>3.3020032312353096</v>
      </c>
      <c r="V20" s="21">
        <v>0.35699999999999998</v>
      </c>
      <c r="W20" s="20">
        <f t="shared" si="6"/>
        <v>5.1049581898671921</v>
      </c>
      <c r="X20" s="20">
        <f t="shared" si="7"/>
        <v>31.74</v>
      </c>
      <c r="Y20" s="21">
        <f t="shared" si="8"/>
        <v>0.13961660463173545</v>
      </c>
      <c r="Z20" s="21">
        <f t="shared" si="9"/>
        <v>0.38332987920183614</v>
      </c>
      <c r="AA20" s="21">
        <f t="shared" si="10"/>
        <v>0.69972000000000001</v>
      </c>
      <c r="AB20" s="21">
        <f t="shared" si="11"/>
        <v>0.75132656323559888</v>
      </c>
    </row>
    <row r="21" spans="1:28" ht="16" customHeight="1" x14ac:dyDescent="0.2">
      <c r="A21" t="s">
        <v>28</v>
      </c>
      <c r="B21" t="s">
        <v>29</v>
      </c>
      <c r="C21" t="s">
        <v>77</v>
      </c>
      <c r="D21" t="s">
        <v>78</v>
      </c>
      <c r="E21" t="s">
        <v>32</v>
      </c>
      <c r="F21" t="s">
        <v>33</v>
      </c>
      <c r="G21" t="s">
        <v>34</v>
      </c>
      <c r="H21" s="15">
        <v>194</v>
      </c>
      <c r="I21" s="15">
        <f t="shared" si="12"/>
        <v>3.712198270069774</v>
      </c>
      <c r="J21" s="17">
        <v>0.92900000000000005</v>
      </c>
      <c r="K21" s="17">
        <v>440000</v>
      </c>
      <c r="L21" s="11" t="s">
        <v>35</v>
      </c>
      <c r="M21" s="11" t="s">
        <v>35</v>
      </c>
      <c r="N21" s="14">
        <v>65</v>
      </c>
      <c r="O21" s="11">
        <v>249.02</v>
      </c>
      <c r="P21" s="13">
        <v>17.613</v>
      </c>
      <c r="Q21" s="11">
        <f t="shared" si="1"/>
        <v>220.16249999999999</v>
      </c>
      <c r="R21" s="20">
        <f t="shared" si="2"/>
        <v>88.411573367600994</v>
      </c>
      <c r="S21" s="20">
        <f t="shared" si="3"/>
        <v>0.88411573367600993</v>
      </c>
      <c r="T21" s="15">
        <f t="shared" si="4"/>
        <v>171.51845233314592</v>
      </c>
      <c r="U21" s="15">
        <f t="shared" si="5"/>
        <v>3.7656891507501915</v>
      </c>
      <c r="V21" s="21">
        <v>0.29299999999999998</v>
      </c>
      <c r="W21" s="20">
        <f t="shared" si="6"/>
        <v>3.3098949639470843</v>
      </c>
      <c r="X21" s="20">
        <f t="shared" si="7"/>
        <v>31.74</v>
      </c>
      <c r="Y21" s="21">
        <f t="shared" si="8"/>
        <v>0.1385925491211705</v>
      </c>
      <c r="Z21" s="21">
        <f t="shared" si="9"/>
        <v>0.32412481341591859</v>
      </c>
      <c r="AA21" s="21">
        <f t="shared" si="10"/>
        <v>0.5742799999999999</v>
      </c>
      <c r="AB21" s="21">
        <f t="shared" si="11"/>
        <v>0.63528463429520043</v>
      </c>
    </row>
    <row r="22" spans="1:28" ht="16" customHeight="1" x14ac:dyDescent="0.2">
      <c r="A22" t="s">
        <v>28</v>
      </c>
      <c r="B22" t="s">
        <v>29</v>
      </c>
      <c r="C22" t="s">
        <v>79</v>
      </c>
      <c r="D22" t="s">
        <v>80</v>
      </c>
      <c r="E22" t="s">
        <v>32</v>
      </c>
      <c r="F22" t="s">
        <v>33</v>
      </c>
      <c r="G22" t="s">
        <v>34</v>
      </c>
      <c r="H22" s="15">
        <v>181</v>
      </c>
      <c r="I22" s="15">
        <f t="shared" si="12"/>
        <v>3.7423214251308154</v>
      </c>
      <c r="J22" s="17">
        <v>1.29</v>
      </c>
      <c r="K22" s="17">
        <v>640000</v>
      </c>
      <c r="L22" s="11" t="s">
        <v>35</v>
      </c>
      <c r="M22" s="11" t="s">
        <v>81</v>
      </c>
      <c r="N22" s="14">
        <v>65</v>
      </c>
      <c r="O22" s="11">
        <v>250.52</v>
      </c>
      <c r="P22" s="23" t="s">
        <v>82</v>
      </c>
      <c r="Q22" s="11" t="str">
        <f t="shared" si="1"/>
        <v>-</v>
      </c>
      <c r="R22" s="24" t="str">
        <f t="shared" si="2"/>
        <v>-</v>
      </c>
      <c r="S22" s="20" t="str">
        <f t="shared" si="3"/>
        <v>-</v>
      </c>
      <c r="T22" s="15" t="str">
        <f t="shared" si="4"/>
        <v>-</v>
      </c>
      <c r="U22" s="15" t="str">
        <f t="shared" si="5"/>
        <v>-</v>
      </c>
      <c r="V22" s="21">
        <v>0.20599999999999999</v>
      </c>
      <c r="W22" s="20" t="str">
        <f t="shared" si="6"/>
        <v>-</v>
      </c>
      <c r="X22" s="20" t="str">
        <f t="shared" si="7"/>
        <v>-</v>
      </c>
      <c r="Y22" s="21" t="str">
        <f t="shared" si="8"/>
        <v>-</v>
      </c>
      <c r="Z22" s="21" t="str">
        <f t="shared" si="9"/>
        <v>-</v>
      </c>
      <c r="AA22" s="21">
        <f t="shared" si="10"/>
        <v>0.40375999999999995</v>
      </c>
      <c r="AB22" s="21" t="str">
        <f t="shared" si="11"/>
        <v>-</v>
      </c>
    </row>
    <row r="23" spans="1:28" ht="16" customHeight="1" x14ac:dyDescent="0.2">
      <c r="A23" t="s">
        <v>28</v>
      </c>
      <c r="B23" t="s">
        <v>29</v>
      </c>
      <c r="C23" t="s">
        <v>83</v>
      </c>
      <c r="D23" t="s">
        <v>84</v>
      </c>
      <c r="E23" t="s">
        <v>32</v>
      </c>
      <c r="F23" t="s">
        <v>33</v>
      </c>
      <c r="G23" t="s">
        <v>34</v>
      </c>
      <c r="H23" s="15">
        <v>43.8</v>
      </c>
      <c r="I23" s="15">
        <f t="shared" si="12"/>
        <v>4.3585258894959003</v>
      </c>
      <c r="J23" s="17">
        <v>1.38</v>
      </c>
      <c r="K23" s="17">
        <v>676000</v>
      </c>
      <c r="L23" s="11" t="s">
        <v>35</v>
      </c>
      <c r="M23" s="11" t="s">
        <v>35</v>
      </c>
      <c r="N23" s="14">
        <v>65</v>
      </c>
      <c r="O23" s="11">
        <v>249.66</v>
      </c>
      <c r="P23" s="13">
        <v>6.6760000000000002</v>
      </c>
      <c r="Q23" s="11">
        <f t="shared" si="1"/>
        <v>83.45</v>
      </c>
      <c r="R23" s="20">
        <f t="shared" si="2"/>
        <v>33.425458623728268</v>
      </c>
      <c r="S23" s="20">
        <f t="shared" si="3"/>
        <v>0.33425458623728266</v>
      </c>
      <c r="T23" s="15">
        <f t="shared" si="4"/>
        <v>14.640350877192979</v>
      </c>
      <c r="U23" s="15">
        <f t="shared" si="5"/>
        <v>4.8344485146572262</v>
      </c>
      <c r="V23" s="21">
        <v>0.15</v>
      </c>
      <c r="W23" s="20">
        <f t="shared" si="6"/>
        <v>7.32345116836429</v>
      </c>
      <c r="X23" s="20">
        <f t="shared" si="7"/>
        <v>31.74</v>
      </c>
      <c r="Y23" s="21">
        <f t="shared" si="8"/>
        <v>0.14146675528848887</v>
      </c>
      <c r="Z23" s="21">
        <f t="shared" si="9"/>
        <v>0.2061864274191034</v>
      </c>
      <c r="AA23" s="21">
        <f t="shared" si="10"/>
        <v>0.29399999999999998</v>
      </c>
      <c r="AB23" s="21">
        <f t="shared" si="11"/>
        <v>0.40412539774144263</v>
      </c>
    </row>
    <row r="24" spans="1:28" ht="16" customHeight="1" x14ac:dyDescent="0.2">
      <c r="A24" t="s">
        <v>28</v>
      </c>
      <c r="B24" t="s">
        <v>29</v>
      </c>
      <c r="C24" t="s">
        <v>85</v>
      </c>
      <c r="D24" t="s">
        <v>86</v>
      </c>
      <c r="E24" t="s">
        <v>32</v>
      </c>
      <c r="F24" t="s">
        <v>33</v>
      </c>
      <c r="G24" t="s">
        <v>34</v>
      </c>
      <c r="H24" s="15">
        <v>3.03</v>
      </c>
      <c r="I24" s="15">
        <f t="shared" si="12"/>
        <v>5.5185573714976952</v>
      </c>
      <c r="J24" s="17">
        <v>0.48</v>
      </c>
      <c r="K24" s="17">
        <v>270000</v>
      </c>
      <c r="L24" s="11" t="s">
        <v>35</v>
      </c>
      <c r="M24" s="11" t="s">
        <v>35</v>
      </c>
      <c r="N24" s="14">
        <v>65</v>
      </c>
      <c r="O24" s="11">
        <v>250.57</v>
      </c>
      <c r="P24" s="13">
        <v>7.8220000000000001</v>
      </c>
      <c r="Q24" s="11">
        <f t="shared" si="1"/>
        <v>97.775000000000006</v>
      </c>
      <c r="R24" s="20">
        <f t="shared" si="2"/>
        <v>39.021032046932994</v>
      </c>
      <c r="S24" s="20">
        <f t="shared" si="3"/>
        <v>0.39021032046932996</v>
      </c>
      <c r="T24" s="15">
        <f t="shared" si="4"/>
        <v>1.1823372710220696</v>
      </c>
      <c r="U24" s="15">
        <f t="shared" si="5"/>
        <v>5.9272586198589616</v>
      </c>
      <c r="V24" s="21">
        <v>3.2399999999999998E-2</v>
      </c>
      <c r="W24" s="20">
        <f t="shared" si="6"/>
        <v>6.3764919457939149</v>
      </c>
      <c r="X24" s="20">
        <f t="shared" si="7"/>
        <v>31.74</v>
      </c>
      <c r="Y24" s="21">
        <f t="shared" si="8"/>
        <v>0.14059925844434196</v>
      </c>
      <c r="Z24" s="21">
        <f t="shared" si="9"/>
        <v>0.14428413452316532</v>
      </c>
      <c r="AA24" s="21">
        <f t="shared" si="10"/>
        <v>6.3503999999999991E-2</v>
      </c>
      <c r="AB24" s="21">
        <f t="shared" si="11"/>
        <v>0.28279690366540405</v>
      </c>
    </row>
    <row r="25" spans="1:28" ht="16" customHeight="1" x14ac:dyDescent="0.2">
      <c r="A25" t="s">
        <v>28</v>
      </c>
      <c r="B25" t="s">
        <v>29</v>
      </c>
      <c r="C25" t="s">
        <v>87</v>
      </c>
      <c r="D25" t="s">
        <v>88</v>
      </c>
      <c r="E25" t="s">
        <v>32</v>
      </c>
      <c r="F25" t="s">
        <v>33</v>
      </c>
      <c r="G25" t="s">
        <v>34</v>
      </c>
      <c r="H25" s="15">
        <v>232</v>
      </c>
      <c r="I25" s="15">
        <f t="shared" si="12"/>
        <v>3.6345120151091002</v>
      </c>
      <c r="J25" s="17">
        <v>1.06</v>
      </c>
      <c r="K25" s="17">
        <v>491000</v>
      </c>
      <c r="L25" s="11" t="s">
        <v>35</v>
      </c>
      <c r="M25" s="11" t="s">
        <v>55</v>
      </c>
      <c r="N25" s="14">
        <v>65</v>
      </c>
      <c r="O25" s="11">
        <v>249.94</v>
      </c>
      <c r="P25" s="23" t="s">
        <v>56</v>
      </c>
      <c r="Q25" s="11" t="str">
        <f t="shared" si="1"/>
        <v>-</v>
      </c>
      <c r="R25" s="24" t="str">
        <f t="shared" si="2"/>
        <v>-</v>
      </c>
      <c r="S25" s="20" t="str">
        <f t="shared" si="3"/>
        <v>-</v>
      </c>
      <c r="T25" s="15" t="str">
        <f t="shared" si="4"/>
        <v>-</v>
      </c>
      <c r="U25" s="15" t="str">
        <f t="shared" si="5"/>
        <v>-</v>
      </c>
      <c r="V25" s="21">
        <v>0.249</v>
      </c>
      <c r="W25" s="20" t="str">
        <f t="shared" si="6"/>
        <v>-</v>
      </c>
      <c r="X25" s="20" t="str">
        <f t="shared" si="7"/>
        <v>-</v>
      </c>
      <c r="Y25" s="21" t="str">
        <f t="shared" si="8"/>
        <v>-</v>
      </c>
      <c r="Z25" s="21" t="str">
        <f t="shared" si="9"/>
        <v>-</v>
      </c>
      <c r="AA25" s="21">
        <f t="shared" si="10"/>
        <v>0.48803999999999997</v>
      </c>
      <c r="AB25" s="21" t="str">
        <f t="shared" si="11"/>
        <v>-</v>
      </c>
    </row>
    <row r="26" spans="1:28" ht="16" customHeight="1" x14ac:dyDescent="0.2">
      <c r="A26" t="s">
        <v>28</v>
      </c>
      <c r="B26" t="s">
        <v>29</v>
      </c>
      <c r="C26" t="s">
        <v>89</v>
      </c>
      <c r="D26" t="s">
        <v>90</v>
      </c>
      <c r="E26" t="s">
        <v>32</v>
      </c>
      <c r="F26" t="s">
        <v>33</v>
      </c>
      <c r="G26" t="s">
        <v>34</v>
      </c>
      <c r="H26" s="15">
        <v>25.9</v>
      </c>
      <c r="I26" s="15">
        <f t="shared" si="12"/>
        <v>4.5867002359187481</v>
      </c>
      <c r="J26" s="17">
        <v>0.55600000000000005</v>
      </c>
      <c r="K26" s="17">
        <v>299000</v>
      </c>
      <c r="L26" s="11" t="s">
        <v>35</v>
      </c>
      <c r="M26" s="11" t="s">
        <v>35</v>
      </c>
      <c r="N26" s="14">
        <v>65</v>
      </c>
      <c r="O26" s="11">
        <v>249.92</v>
      </c>
      <c r="P26" s="13">
        <v>14.715999999999999</v>
      </c>
      <c r="Q26" s="11">
        <f t="shared" si="1"/>
        <v>183.95</v>
      </c>
      <c r="R26" s="20">
        <f t="shared" si="2"/>
        <v>73.603553137003843</v>
      </c>
      <c r="S26" s="20">
        <f t="shared" si="3"/>
        <v>0.73603553137003841</v>
      </c>
      <c r="T26" s="15">
        <f t="shared" si="4"/>
        <v>19.063320262483995</v>
      </c>
      <c r="U26" s="15">
        <f t="shared" si="5"/>
        <v>4.7198014559488088</v>
      </c>
      <c r="V26" s="21">
        <v>0.16600000000000001</v>
      </c>
      <c r="W26" s="20">
        <f t="shared" si="6"/>
        <v>3.7921826583310683</v>
      </c>
      <c r="X26" s="20">
        <f t="shared" si="7"/>
        <v>31.74</v>
      </c>
      <c r="Y26" s="21">
        <f t="shared" si="8"/>
        <v>0.13882542559762151</v>
      </c>
      <c r="Z26" s="21">
        <f t="shared" si="9"/>
        <v>0.21639893436050175</v>
      </c>
      <c r="AA26" s="21">
        <f t="shared" si="10"/>
        <v>0.32536000000000004</v>
      </c>
      <c r="AB26" s="21">
        <f t="shared" si="11"/>
        <v>0.42414191134658341</v>
      </c>
    </row>
    <row r="27" spans="1:28" ht="16" customHeight="1" x14ac:dyDescent="0.2">
      <c r="A27" t="s">
        <v>28</v>
      </c>
      <c r="B27" t="s">
        <v>29</v>
      </c>
      <c r="C27" t="s">
        <v>91</v>
      </c>
      <c r="D27" t="s">
        <v>92</v>
      </c>
      <c r="E27" t="s">
        <v>32</v>
      </c>
      <c r="F27" t="s">
        <v>33</v>
      </c>
      <c r="G27" t="s">
        <v>34</v>
      </c>
      <c r="H27" s="15">
        <v>18.5</v>
      </c>
      <c r="I27" s="15">
        <f t="shared" si="12"/>
        <v>4.7328282715969863</v>
      </c>
      <c r="J27" s="17">
        <v>0.86</v>
      </c>
      <c r="K27" s="17">
        <v>414000</v>
      </c>
      <c r="L27" s="11" t="s">
        <v>35</v>
      </c>
      <c r="M27" s="11" t="s">
        <v>35</v>
      </c>
      <c r="N27" s="14">
        <v>65</v>
      </c>
      <c r="O27" s="11">
        <v>249.78</v>
      </c>
      <c r="P27" s="13">
        <v>4.3310000000000004</v>
      </c>
      <c r="Q27" s="11">
        <f t="shared" si="1"/>
        <v>54.137500000000003</v>
      </c>
      <c r="R27" s="20">
        <f t="shared" si="2"/>
        <v>21.674073184402275</v>
      </c>
      <c r="S27" s="20">
        <f t="shared" si="3"/>
        <v>0.21674073184402276</v>
      </c>
      <c r="T27" s="15">
        <f t="shared" si="4"/>
        <v>4.0097035391144207</v>
      </c>
      <c r="U27" s="15">
        <f t="shared" si="5"/>
        <v>5.3968877361295089</v>
      </c>
      <c r="V27" s="21">
        <v>0.17299999999999999</v>
      </c>
      <c r="W27" s="20">
        <f t="shared" si="6"/>
        <v>10.823057030708842</v>
      </c>
      <c r="X27" s="20">
        <f t="shared" si="7"/>
        <v>31.74</v>
      </c>
      <c r="Y27" s="21">
        <f t="shared" si="8"/>
        <v>0.14563870793771977</v>
      </c>
      <c r="Z27" s="21">
        <f t="shared" si="9"/>
        <v>0.22614073770501508</v>
      </c>
      <c r="AA27" s="21">
        <f t="shared" si="10"/>
        <v>0.33907999999999999</v>
      </c>
      <c r="AB27" s="21">
        <f t="shared" si="11"/>
        <v>0.44323584590182957</v>
      </c>
    </row>
    <row r="28" spans="1:28" ht="16" customHeight="1" x14ac:dyDescent="0.2">
      <c r="A28" t="s">
        <v>28</v>
      </c>
      <c r="B28" t="s">
        <v>29</v>
      </c>
      <c r="C28" t="s">
        <v>93</v>
      </c>
      <c r="D28" t="s">
        <v>94</v>
      </c>
      <c r="E28" t="s">
        <v>32</v>
      </c>
      <c r="F28" t="s">
        <v>33</v>
      </c>
      <c r="G28" t="s">
        <v>34</v>
      </c>
      <c r="H28" s="15">
        <v>45.5</v>
      </c>
      <c r="I28" s="15">
        <f t="shared" si="12"/>
        <v>4.3419886033428874</v>
      </c>
      <c r="J28" s="17">
        <v>1.23</v>
      </c>
      <c r="K28" s="17">
        <v>554000</v>
      </c>
      <c r="L28" s="11" t="s">
        <v>35</v>
      </c>
      <c r="M28" s="11" t="s">
        <v>35</v>
      </c>
      <c r="N28" s="14">
        <v>65</v>
      </c>
      <c r="O28" s="11">
        <v>249.69</v>
      </c>
      <c r="P28" s="13">
        <v>12.56</v>
      </c>
      <c r="Q28" s="11">
        <f t="shared" si="1"/>
        <v>157</v>
      </c>
      <c r="R28" s="20">
        <f t="shared" si="2"/>
        <v>62.877968681164646</v>
      </c>
      <c r="S28" s="20">
        <f t="shared" si="3"/>
        <v>0.62877968681164642</v>
      </c>
      <c r="T28" s="15">
        <f t="shared" si="4"/>
        <v>28.609475749929913</v>
      </c>
      <c r="U28" s="15">
        <f t="shared" si="5"/>
        <v>4.5434901002862649</v>
      </c>
      <c r="V28" s="21">
        <v>0.183</v>
      </c>
      <c r="W28" s="20">
        <f t="shared" si="6"/>
        <v>4.2955095541401276</v>
      </c>
      <c r="X28" s="20">
        <f t="shared" si="7"/>
        <v>31.74</v>
      </c>
      <c r="Y28" s="21">
        <f t="shared" si="8"/>
        <v>0.13910168207393747</v>
      </c>
      <c r="Z28" s="21">
        <f t="shared" si="9"/>
        <v>0.22986578248142714</v>
      </c>
      <c r="AA28" s="21">
        <f t="shared" si="10"/>
        <v>0.35868</v>
      </c>
      <c r="AB28" s="21">
        <f t="shared" si="11"/>
        <v>0.45053693366359721</v>
      </c>
    </row>
    <row r="29" spans="1:28" ht="16" customHeight="1" x14ac:dyDescent="0.2">
      <c r="A29" t="s">
        <v>28</v>
      </c>
      <c r="B29" t="s">
        <v>29</v>
      </c>
      <c r="C29" t="s">
        <v>95</v>
      </c>
      <c r="D29" t="s">
        <v>96</v>
      </c>
      <c r="E29" t="s">
        <v>32</v>
      </c>
      <c r="F29" t="s">
        <v>38</v>
      </c>
      <c r="G29" t="s">
        <v>34</v>
      </c>
      <c r="H29" s="15">
        <v>117</v>
      </c>
      <c r="I29" s="15">
        <f t="shared" si="12"/>
        <v>3.9318141382538383</v>
      </c>
      <c r="J29" s="17">
        <v>1.19</v>
      </c>
      <c r="K29" s="17">
        <v>607000</v>
      </c>
      <c r="L29" s="11" t="s">
        <v>35</v>
      </c>
      <c r="M29" s="11" t="s">
        <v>81</v>
      </c>
      <c r="N29" s="14">
        <v>65</v>
      </c>
      <c r="O29" s="11">
        <v>249.69</v>
      </c>
      <c r="P29" s="23" t="s">
        <v>82</v>
      </c>
      <c r="Q29" s="11" t="str">
        <f t="shared" si="1"/>
        <v>-</v>
      </c>
      <c r="R29" s="24" t="str">
        <f t="shared" si="2"/>
        <v>-</v>
      </c>
      <c r="S29" s="20" t="str">
        <f t="shared" si="3"/>
        <v>-</v>
      </c>
      <c r="T29" s="15" t="str">
        <f t="shared" si="4"/>
        <v>-</v>
      </c>
      <c r="U29" s="15" t="str">
        <f t="shared" si="5"/>
        <v>-</v>
      </c>
      <c r="V29" s="21">
        <v>0.13200000000000001</v>
      </c>
      <c r="W29" s="20" t="str">
        <f t="shared" si="6"/>
        <v>-</v>
      </c>
      <c r="X29" s="20" t="str">
        <f t="shared" si="7"/>
        <v>-</v>
      </c>
      <c r="Y29" s="21" t="str">
        <f t="shared" si="8"/>
        <v>-</v>
      </c>
      <c r="Z29" s="21" t="str">
        <f t="shared" si="9"/>
        <v>-</v>
      </c>
      <c r="AA29" s="21">
        <f t="shared" si="10"/>
        <v>0.25872000000000001</v>
      </c>
      <c r="AB29" s="21" t="str">
        <f t="shared" si="11"/>
        <v>-</v>
      </c>
    </row>
    <row r="30" spans="1:28" ht="16" customHeight="1" x14ac:dyDescent="0.2">
      <c r="A30" t="s">
        <v>28</v>
      </c>
      <c r="B30" t="s">
        <v>29</v>
      </c>
      <c r="C30" t="s">
        <v>97</v>
      </c>
      <c r="D30" t="s">
        <v>98</v>
      </c>
      <c r="E30" t="s">
        <v>32</v>
      </c>
      <c r="F30" t="s">
        <v>33</v>
      </c>
      <c r="G30" t="s">
        <v>34</v>
      </c>
      <c r="H30" s="16" t="s">
        <v>67</v>
      </c>
      <c r="I30" s="16" t="s">
        <v>67</v>
      </c>
      <c r="J30" s="18" t="s">
        <v>67</v>
      </c>
      <c r="K30" s="18" t="s">
        <v>67</v>
      </c>
      <c r="L30" s="11" t="s">
        <v>35</v>
      </c>
      <c r="M30" s="11" t="s">
        <v>35</v>
      </c>
      <c r="N30" s="14">
        <v>65</v>
      </c>
      <c r="O30" s="11">
        <v>250.74</v>
      </c>
      <c r="P30" s="13">
        <v>17.056999999999999</v>
      </c>
      <c r="Q30" s="11">
        <f t="shared" si="1"/>
        <v>213.21249999999998</v>
      </c>
      <c r="R30" s="20">
        <f t="shared" si="2"/>
        <v>85.033301427773779</v>
      </c>
      <c r="S30" s="20">
        <f t="shared" si="3"/>
        <v>0.85033301427773778</v>
      </c>
      <c r="T30" s="15" t="str">
        <f t="shared" si="4"/>
        <v>no data</v>
      </c>
      <c r="U30" s="15" t="str">
        <f t="shared" si="5"/>
        <v>no data</v>
      </c>
      <c r="V30" s="22" t="s">
        <v>68</v>
      </c>
      <c r="W30" s="20">
        <f t="shared" si="6"/>
        <v>3.3897531805123995</v>
      </c>
      <c r="X30" s="20">
        <f t="shared" si="7"/>
        <v>31.74</v>
      </c>
      <c r="Y30" s="21">
        <f t="shared" si="8"/>
        <v>0.13862895012133183</v>
      </c>
      <c r="Z30" s="21" t="str">
        <f t="shared" si="9"/>
        <v>-</v>
      </c>
      <c r="AA30" s="21" t="str">
        <f t="shared" si="10"/>
        <v>-</v>
      </c>
      <c r="AB30" s="21" t="str">
        <f t="shared" si="11"/>
        <v>-</v>
      </c>
    </row>
    <row r="31" spans="1:28" ht="16" customHeight="1" x14ac:dyDescent="0.2">
      <c r="A31" t="s">
        <v>28</v>
      </c>
      <c r="B31" t="s">
        <v>29</v>
      </c>
      <c r="C31" t="s">
        <v>99</v>
      </c>
      <c r="D31" t="s">
        <v>100</v>
      </c>
      <c r="E31" t="s">
        <v>32</v>
      </c>
      <c r="F31" t="s">
        <v>33</v>
      </c>
      <c r="G31" t="s">
        <v>34</v>
      </c>
      <c r="H31" s="15">
        <v>120</v>
      </c>
      <c r="I31" s="15">
        <f t="shared" ref="I31:I37" si="13">IF(H31=0, 0, -LOG10(H31*10^-6))</f>
        <v>3.9208187539523753</v>
      </c>
      <c r="J31" s="17">
        <v>0.98</v>
      </c>
      <c r="K31" s="17">
        <v>460000</v>
      </c>
      <c r="L31" s="11" t="s">
        <v>35</v>
      </c>
      <c r="M31" s="11" t="s">
        <v>35</v>
      </c>
      <c r="N31" s="14">
        <v>65</v>
      </c>
      <c r="O31" s="11">
        <v>249.07</v>
      </c>
      <c r="P31" s="13">
        <v>17.641999999999999</v>
      </c>
      <c r="Q31" s="11">
        <f t="shared" si="1"/>
        <v>220.52500000000001</v>
      </c>
      <c r="R31" s="20">
        <f t="shared" si="2"/>
        <v>88.539366443168589</v>
      </c>
      <c r="S31" s="20">
        <f t="shared" si="3"/>
        <v>0.88539366443168588</v>
      </c>
      <c r="T31" s="15">
        <f t="shared" si="4"/>
        <v>106.24723973180231</v>
      </c>
      <c r="U31" s="15">
        <f t="shared" si="5"/>
        <v>3.9736823439582958</v>
      </c>
      <c r="V31" s="21">
        <v>0.28699999999999998</v>
      </c>
      <c r="W31" s="20">
        <f t="shared" si="6"/>
        <v>3.305867815440426</v>
      </c>
      <c r="X31" s="20">
        <f t="shared" si="7"/>
        <v>31.74</v>
      </c>
      <c r="Y31" s="21">
        <f t="shared" si="8"/>
        <v>0.13859073619902465</v>
      </c>
      <c r="Z31" s="21">
        <f t="shared" si="9"/>
        <v>0.31871051466838624</v>
      </c>
      <c r="AA31" s="21">
        <f t="shared" si="10"/>
        <v>0.56251999999999991</v>
      </c>
      <c r="AB31" s="21">
        <f t="shared" si="11"/>
        <v>0.62467260875003705</v>
      </c>
    </row>
    <row r="32" spans="1:28" ht="16" customHeight="1" x14ac:dyDescent="0.2">
      <c r="A32" t="s">
        <v>28</v>
      </c>
      <c r="B32" t="s">
        <v>29</v>
      </c>
      <c r="C32" t="s">
        <v>101</v>
      </c>
      <c r="D32" t="s">
        <v>102</v>
      </c>
      <c r="E32" t="s">
        <v>32</v>
      </c>
      <c r="F32" t="s">
        <v>33</v>
      </c>
      <c r="G32" t="s">
        <v>34</v>
      </c>
      <c r="H32" s="15">
        <v>124</v>
      </c>
      <c r="I32" s="15">
        <f t="shared" si="13"/>
        <v>3.9065783148377649</v>
      </c>
      <c r="J32" s="17">
        <v>0.99299999999999999</v>
      </c>
      <c r="K32" s="17">
        <v>465000</v>
      </c>
      <c r="L32" s="11" t="s">
        <v>35</v>
      </c>
      <c r="M32" s="11" t="s">
        <v>35</v>
      </c>
      <c r="N32" s="14">
        <v>65</v>
      </c>
      <c r="O32" s="11">
        <v>250.63</v>
      </c>
      <c r="P32" s="13">
        <v>13.962999999999999</v>
      </c>
      <c r="Q32" s="11">
        <f t="shared" si="1"/>
        <v>174.53749999999999</v>
      </c>
      <c r="R32" s="20">
        <f t="shared" si="2"/>
        <v>69.639508438734381</v>
      </c>
      <c r="S32" s="20">
        <f t="shared" si="3"/>
        <v>0.69639508438734377</v>
      </c>
      <c r="T32" s="15">
        <f t="shared" si="4"/>
        <v>86.352990464030626</v>
      </c>
      <c r="U32" s="15">
        <f t="shared" si="5"/>
        <v>4.063722617916576</v>
      </c>
      <c r="V32" s="21">
        <v>0.28100000000000003</v>
      </c>
      <c r="W32" s="20">
        <f t="shared" si="6"/>
        <v>3.9503101052782355</v>
      </c>
      <c r="X32" s="20">
        <f t="shared" si="7"/>
        <v>31.74</v>
      </c>
      <c r="Y32" s="21">
        <f t="shared" si="8"/>
        <v>0.13890856897254858</v>
      </c>
      <c r="Z32" s="21">
        <f t="shared" si="9"/>
        <v>0.31345907314034044</v>
      </c>
      <c r="AA32" s="21">
        <f t="shared" si="10"/>
        <v>0.55076000000000003</v>
      </c>
      <c r="AB32" s="21">
        <f t="shared" si="11"/>
        <v>0.61437978335506727</v>
      </c>
    </row>
    <row r="33" spans="1:28" ht="16" customHeight="1" x14ac:dyDescent="0.2">
      <c r="A33" t="s">
        <v>28</v>
      </c>
      <c r="B33" t="s">
        <v>29</v>
      </c>
      <c r="C33" t="s">
        <v>103</v>
      </c>
      <c r="D33" t="s">
        <v>104</v>
      </c>
      <c r="E33" t="s">
        <v>32</v>
      </c>
      <c r="F33" t="s">
        <v>33</v>
      </c>
      <c r="G33" t="s">
        <v>34</v>
      </c>
      <c r="H33" s="15">
        <v>121</v>
      </c>
      <c r="I33" s="15">
        <f t="shared" si="13"/>
        <v>3.9172146296835497</v>
      </c>
      <c r="J33" s="17">
        <v>0.86399999999999999</v>
      </c>
      <c r="K33" s="17">
        <v>463000</v>
      </c>
      <c r="L33" s="11" t="s">
        <v>35</v>
      </c>
      <c r="M33" s="11" t="s">
        <v>35</v>
      </c>
      <c r="N33" s="14">
        <v>65</v>
      </c>
      <c r="O33" s="11">
        <v>249.84</v>
      </c>
      <c r="P33" s="13">
        <v>2.7669999999999999</v>
      </c>
      <c r="Q33" s="11">
        <f t="shared" si="1"/>
        <v>34.587499999999999</v>
      </c>
      <c r="R33" s="20">
        <f t="shared" si="2"/>
        <v>13.843860070445086</v>
      </c>
      <c r="S33" s="20">
        <f t="shared" si="3"/>
        <v>0.13843860070445085</v>
      </c>
      <c r="T33" s="15">
        <f t="shared" si="4"/>
        <v>16.751070685238552</v>
      </c>
      <c r="U33" s="15">
        <f t="shared" si="5"/>
        <v>4.7759574287566835</v>
      </c>
      <c r="V33" s="21">
        <v>0.27800000000000002</v>
      </c>
      <c r="W33" s="20">
        <f t="shared" si="6"/>
        <v>16.454506685941453</v>
      </c>
      <c r="X33" s="20">
        <f t="shared" si="7"/>
        <v>31.74</v>
      </c>
      <c r="Y33" s="21">
        <f t="shared" si="8"/>
        <v>0.15526731635274965</v>
      </c>
      <c r="Z33" s="21">
        <f t="shared" si="9"/>
        <v>0.31842100987118432</v>
      </c>
      <c r="AA33" s="21">
        <f t="shared" si="10"/>
        <v>0.54488000000000003</v>
      </c>
      <c r="AB33" s="21">
        <f t="shared" si="11"/>
        <v>0.6241051793475213</v>
      </c>
    </row>
    <row r="34" spans="1:28" ht="16" customHeight="1" x14ac:dyDescent="0.2">
      <c r="A34" t="s">
        <v>28</v>
      </c>
      <c r="B34" t="s">
        <v>29</v>
      </c>
      <c r="C34" t="s">
        <v>105</v>
      </c>
      <c r="D34" t="s">
        <v>106</v>
      </c>
      <c r="E34" t="s">
        <v>32</v>
      </c>
      <c r="F34" t="s">
        <v>33</v>
      </c>
      <c r="G34" t="s">
        <v>34</v>
      </c>
      <c r="H34" s="15">
        <v>42.3</v>
      </c>
      <c r="I34" s="15">
        <f t="shared" si="13"/>
        <v>4.3736596326249577</v>
      </c>
      <c r="J34" s="17">
        <v>0.752</v>
      </c>
      <c r="K34" s="17">
        <v>416000</v>
      </c>
      <c r="L34" s="11" t="s">
        <v>35</v>
      </c>
      <c r="M34" s="11" t="s">
        <v>35</v>
      </c>
      <c r="N34" s="14">
        <v>65</v>
      </c>
      <c r="O34" s="11">
        <v>249.64</v>
      </c>
      <c r="P34" s="13">
        <v>12.659000000000001</v>
      </c>
      <c r="Q34" s="11">
        <f t="shared" si="1"/>
        <v>158.23750000000001</v>
      </c>
      <c r="R34" s="20">
        <f t="shared" si="2"/>
        <v>63.386276237782411</v>
      </c>
      <c r="S34" s="20">
        <f t="shared" si="3"/>
        <v>0.63386276237782413</v>
      </c>
      <c r="T34" s="15">
        <f t="shared" si="4"/>
        <v>26.81239484858196</v>
      </c>
      <c r="U34" s="15">
        <f t="shared" si="5"/>
        <v>4.5716643936607637</v>
      </c>
      <c r="V34" s="21">
        <v>0.26100000000000001</v>
      </c>
      <c r="W34" s="20">
        <f t="shared" si="6"/>
        <v>4.2686420728335568</v>
      </c>
      <c r="X34" s="20">
        <f t="shared" si="7"/>
        <v>31.74</v>
      </c>
      <c r="Y34" s="21">
        <f t="shared" si="8"/>
        <v>0.13908608145234524</v>
      </c>
      <c r="Z34" s="21">
        <f t="shared" si="9"/>
        <v>0.29574640835311661</v>
      </c>
      <c r="AA34" s="21">
        <f t="shared" si="10"/>
        <v>0.51156000000000001</v>
      </c>
      <c r="AB34" s="21">
        <f t="shared" si="11"/>
        <v>0.57966296037210852</v>
      </c>
    </row>
    <row r="35" spans="1:28" ht="16" customHeight="1" x14ac:dyDescent="0.2">
      <c r="A35" t="s">
        <v>28</v>
      </c>
      <c r="B35" t="s">
        <v>29</v>
      </c>
      <c r="C35" t="s">
        <v>107</v>
      </c>
      <c r="D35" t="s">
        <v>108</v>
      </c>
      <c r="E35" t="s">
        <v>32</v>
      </c>
      <c r="F35" t="s">
        <v>33</v>
      </c>
      <c r="G35" t="s">
        <v>34</v>
      </c>
      <c r="H35" s="15">
        <v>5.61</v>
      </c>
      <c r="I35" s="15">
        <f t="shared" si="13"/>
        <v>5.2510371387438388</v>
      </c>
      <c r="J35" s="17">
        <v>0.55200000000000005</v>
      </c>
      <c r="K35" s="17">
        <v>334000</v>
      </c>
      <c r="L35" s="11" t="s">
        <v>35</v>
      </c>
      <c r="M35" s="11" t="s">
        <v>35</v>
      </c>
      <c r="N35" s="14">
        <v>65</v>
      </c>
      <c r="O35" s="11">
        <v>250.55</v>
      </c>
      <c r="P35" s="13">
        <v>14.776</v>
      </c>
      <c r="Q35" s="11">
        <f t="shared" si="1"/>
        <v>184.7</v>
      </c>
      <c r="R35" s="20">
        <f t="shared" si="2"/>
        <v>73.717820794252631</v>
      </c>
      <c r="S35" s="20">
        <f t="shared" si="3"/>
        <v>0.73717820794252631</v>
      </c>
      <c r="T35" s="15">
        <f t="shared" si="4"/>
        <v>4.1355697465575725</v>
      </c>
      <c r="U35" s="15">
        <f t="shared" si="5"/>
        <v>5.3834646503820931</v>
      </c>
      <c r="V35" s="21">
        <v>8.5800000000000001E-2</v>
      </c>
      <c r="W35" s="20">
        <f t="shared" si="6"/>
        <v>3.7802761234434215</v>
      </c>
      <c r="X35" s="20">
        <f t="shared" si="7"/>
        <v>31.74</v>
      </c>
      <c r="Y35" s="21">
        <f t="shared" si="8"/>
        <v>0.13881930066238615</v>
      </c>
      <c r="Z35" s="21">
        <f t="shared" si="9"/>
        <v>0.16319447979755308</v>
      </c>
      <c r="AA35" s="21">
        <f t="shared" si="10"/>
        <v>0.16816800000000001</v>
      </c>
      <c r="AB35" s="21">
        <f t="shared" si="11"/>
        <v>0.31986118040320405</v>
      </c>
    </row>
    <row r="36" spans="1:28" ht="16" customHeight="1" x14ac:dyDescent="0.2">
      <c r="A36" t="s">
        <v>28</v>
      </c>
      <c r="B36" t="s">
        <v>29</v>
      </c>
      <c r="C36" t="s">
        <v>109</v>
      </c>
      <c r="D36" t="s">
        <v>110</v>
      </c>
      <c r="E36" t="s">
        <v>32</v>
      </c>
      <c r="F36" t="s">
        <v>38</v>
      </c>
      <c r="G36" t="s">
        <v>34</v>
      </c>
      <c r="H36" s="15">
        <v>13500</v>
      </c>
      <c r="I36" s="15">
        <f t="shared" si="13"/>
        <v>1.8696662315049939</v>
      </c>
      <c r="J36" s="17">
        <v>1.1499999999999999</v>
      </c>
      <c r="K36" s="17">
        <v>524000</v>
      </c>
      <c r="L36" s="11" t="s">
        <v>35</v>
      </c>
      <c r="M36" s="11" t="s">
        <v>35</v>
      </c>
      <c r="N36" s="14">
        <v>65</v>
      </c>
      <c r="O36" s="11">
        <v>250.19</v>
      </c>
      <c r="P36" s="13">
        <v>2.9550000000000001</v>
      </c>
      <c r="Q36" s="11">
        <f t="shared" si="1"/>
        <v>36.9375</v>
      </c>
      <c r="R36" s="20">
        <f t="shared" si="2"/>
        <v>14.763779527559054</v>
      </c>
      <c r="S36" s="20">
        <f t="shared" si="3"/>
        <v>0.14763779527559054</v>
      </c>
      <c r="T36" s="15">
        <f t="shared" si="4"/>
        <v>1993.1102362204722</v>
      </c>
      <c r="U36" s="15">
        <f t="shared" si="5"/>
        <v>2.7004686803972131</v>
      </c>
      <c r="V36" s="21">
        <v>0.58199999999999996</v>
      </c>
      <c r="W36" s="20">
        <f t="shared" si="6"/>
        <v>15.462368866328255</v>
      </c>
      <c r="X36" s="20">
        <f t="shared" si="7"/>
        <v>31.74</v>
      </c>
      <c r="Y36" s="21">
        <f t="shared" si="8"/>
        <v>0.15333193689553701</v>
      </c>
      <c r="Z36" s="21">
        <f t="shared" si="9"/>
        <v>0.60185935472678076</v>
      </c>
      <c r="AA36" s="21">
        <f t="shared" si="10"/>
        <v>1.14072</v>
      </c>
      <c r="AB36" s="21">
        <f t="shared" si="11"/>
        <v>1.1796443352644903</v>
      </c>
    </row>
    <row r="37" spans="1:28" ht="16" customHeight="1" x14ac:dyDescent="0.2">
      <c r="A37" t="s">
        <v>28</v>
      </c>
      <c r="B37" t="s">
        <v>29</v>
      </c>
      <c r="C37" t="s">
        <v>111</v>
      </c>
      <c r="D37" t="s">
        <v>112</v>
      </c>
      <c r="E37" t="s">
        <v>32</v>
      </c>
      <c r="F37" t="s">
        <v>38</v>
      </c>
      <c r="G37" t="s">
        <v>34</v>
      </c>
      <c r="H37" s="15">
        <v>105</v>
      </c>
      <c r="I37" s="15">
        <f t="shared" si="13"/>
        <v>3.9788107009300622</v>
      </c>
      <c r="J37" s="17">
        <v>1.32</v>
      </c>
      <c r="K37" s="17">
        <v>651000</v>
      </c>
      <c r="L37" s="11" t="s">
        <v>35</v>
      </c>
      <c r="M37" s="11" t="s">
        <v>35</v>
      </c>
      <c r="N37" s="14">
        <v>65</v>
      </c>
      <c r="O37" s="11">
        <v>250.8</v>
      </c>
      <c r="P37" s="13">
        <v>4.173</v>
      </c>
      <c r="Q37" s="11">
        <f t="shared" si="1"/>
        <v>52.162500000000001</v>
      </c>
      <c r="R37" s="20">
        <f t="shared" si="2"/>
        <v>20.798444976076556</v>
      </c>
      <c r="S37" s="20">
        <f t="shared" si="3"/>
        <v>0.20798444976076558</v>
      </c>
      <c r="T37" s="15">
        <f t="shared" si="4"/>
        <v>21.838367224880386</v>
      </c>
      <c r="U37" s="15">
        <f t="shared" si="5"/>
        <v>4.6607798353689756</v>
      </c>
      <c r="V37" s="21">
        <v>0.11799999999999999</v>
      </c>
      <c r="W37" s="20">
        <f t="shared" si="6"/>
        <v>11.200282770189311</v>
      </c>
      <c r="X37" s="20">
        <f t="shared" si="7"/>
        <v>31.74</v>
      </c>
      <c r="Y37" s="21">
        <f t="shared" si="8"/>
        <v>0.14617567349490729</v>
      </c>
      <c r="Z37" s="21">
        <f t="shared" si="9"/>
        <v>0.18785986139058483</v>
      </c>
      <c r="AA37" s="21">
        <f t="shared" si="10"/>
        <v>0.23127999999999999</v>
      </c>
      <c r="AB37" s="21">
        <f t="shared" si="11"/>
        <v>0.36820532832554626</v>
      </c>
    </row>
    <row r="38" spans="1:28" ht="16" customHeight="1" x14ac:dyDescent="0.2">
      <c r="A38" t="s">
        <v>28</v>
      </c>
      <c r="B38" t="s">
        <v>29</v>
      </c>
      <c r="C38" t="s">
        <v>113</v>
      </c>
      <c r="D38" t="s">
        <v>114</v>
      </c>
      <c r="E38" t="s">
        <v>32</v>
      </c>
      <c r="F38" t="s">
        <v>33</v>
      </c>
      <c r="G38" t="s">
        <v>34</v>
      </c>
      <c r="H38" s="16" t="s">
        <v>67</v>
      </c>
      <c r="I38" s="16" t="s">
        <v>67</v>
      </c>
      <c r="J38" s="18" t="s">
        <v>67</v>
      </c>
      <c r="K38" s="18" t="s">
        <v>67</v>
      </c>
      <c r="L38" s="11" t="s">
        <v>35</v>
      </c>
      <c r="M38" s="11" t="s">
        <v>35</v>
      </c>
      <c r="N38" s="14">
        <v>65</v>
      </c>
      <c r="O38" s="11">
        <v>249.38</v>
      </c>
      <c r="P38" s="13">
        <v>16.228999999999999</v>
      </c>
      <c r="Q38" s="11">
        <f t="shared" si="1"/>
        <v>202.86249999999998</v>
      </c>
      <c r="R38" s="20">
        <f t="shared" si="2"/>
        <v>81.346739914989158</v>
      </c>
      <c r="S38" s="20">
        <f t="shared" si="3"/>
        <v>0.81346739914989152</v>
      </c>
      <c r="T38" s="15" t="str">
        <f t="shared" si="4"/>
        <v>no data</v>
      </c>
      <c r="U38" s="15" t="str">
        <f t="shared" si="5"/>
        <v>no data</v>
      </c>
      <c r="V38" s="22" t="s">
        <v>68</v>
      </c>
      <c r="W38" s="20">
        <f t="shared" si="6"/>
        <v>3.5188206297368905</v>
      </c>
      <c r="X38" s="20">
        <f t="shared" si="7"/>
        <v>31.74</v>
      </c>
      <c r="Y38" s="21">
        <f t="shared" si="8"/>
        <v>0.13868959509870396</v>
      </c>
      <c r="Z38" s="21" t="str">
        <f t="shared" si="9"/>
        <v>-</v>
      </c>
      <c r="AA38" s="21" t="str">
        <f t="shared" si="10"/>
        <v>-</v>
      </c>
      <c r="AB38" s="21" t="str">
        <f t="shared" si="11"/>
        <v>-</v>
      </c>
    </row>
    <row r="39" spans="1:28" ht="16" customHeight="1" x14ac:dyDescent="0.2">
      <c r="A39" t="s">
        <v>28</v>
      </c>
      <c r="B39" t="s">
        <v>29</v>
      </c>
      <c r="C39" t="s">
        <v>115</v>
      </c>
      <c r="D39" t="s">
        <v>116</v>
      </c>
      <c r="E39" t="s">
        <v>32</v>
      </c>
      <c r="F39" t="s">
        <v>38</v>
      </c>
      <c r="G39" t="s">
        <v>34</v>
      </c>
      <c r="H39" s="16" t="s">
        <v>67</v>
      </c>
      <c r="I39" s="16" t="s">
        <v>67</v>
      </c>
      <c r="J39" s="18" t="s">
        <v>67</v>
      </c>
      <c r="K39" s="18" t="s">
        <v>67</v>
      </c>
      <c r="L39" s="11" t="s">
        <v>35</v>
      </c>
      <c r="M39" s="11" t="s">
        <v>35</v>
      </c>
      <c r="N39" s="14">
        <v>65</v>
      </c>
      <c r="O39" s="11">
        <v>250.11</v>
      </c>
      <c r="P39" s="13">
        <v>9.5830000000000002</v>
      </c>
      <c r="Q39" s="11">
        <f t="shared" si="1"/>
        <v>119.78750000000001</v>
      </c>
      <c r="R39" s="20">
        <f t="shared" si="2"/>
        <v>47.8939266722642</v>
      </c>
      <c r="S39" s="20">
        <f t="shared" si="3"/>
        <v>0.47893926672264198</v>
      </c>
      <c r="T39" s="15" t="str">
        <f t="shared" si="4"/>
        <v>no data</v>
      </c>
      <c r="U39" s="15" t="str">
        <f t="shared" si="5"/>
        <v>no data</v>
      </c>
      <c r="V39" s="22" t="s">
        <v>68</v>
      </c>
      <c r="W39" s="20">
        <f t="shared" si="6"/>
        <v>5.3627653135761246</v>
      </c>
      <c r="X39" s="20">
        <f t="shared" si="7"/>
        <v>31.74</v>
      </c>
      <c r="Y39" s="21">
        <f t="shared" si="8"/>
        <v>0.13979876985893755</v>
      </c>
      <c r="Z39" s="21" t="str">
        <f t="shared" si="9"/>
        <v>-</v>
      </c>
      <c r="AA39" s="21" t="str">
        <f t="shared" si="10"/>
        <v>-</v>
      </c>
      <c r="AB39" s="21" t="str">
        <f t="shared" si="11"/>
        <v>-</v>
      </c>
    </row>
    <row r="40" spans="1:28" ht="16" customHeight="1" x14ac:dyDescent="0.2">
      <c r="A40" t="s">
        <v>28</v>
      </c>
      <c r="B40" t="s">
        <v>29</v>
      </c>
      <c r="C40" t="s">
        <v>117</v>
      </c>
      <c r="D40" t="s">
        <v>118</v>
      </c>
      <c r="E40" t="s">
        <v>32</v>
      </c>
      <c r="F40" t="s">
        <v>38</v>
      </c>
      <c r="G40" t="s">
        <v>34</v>
      </c>
      <c r="H40" s="15">
        <v>18200</v>
      </c>
      <c r="I40" s="15">
        <f t="shared" ref="I40:I48" si="14">IF(H40=0, 0, -LOG10(H40*10^-6))</f>
        <v>1.7399286120149251</v>
      </c>
      <c r="J40" s="17">
        <v>1.1499999999999999</v>
      </c>
      <c r="K40" s="17">
        <v>523000</v>
      </c>
      <c r="L40" s="11" t="s">
        <v>35</v>
      </c>
      <c r="M40" s="11" t="s">
        <v>35</v>
      </c>
      <c r="N40" s="14">
        <v>65</v>
      </c>
      <c r="O40" s="11">
        <v>250.53</v>
      </c>
      <c r="P40" s="13">
        <v>2.8180000000000001</v>
      </c>
      <c r="Q40" s="11">
        <f t="shared" si="1"/>
        <v>35.225000000000001</v>
      </c>
      <c r="R40" s="20">
        <f t="shared" si="2"/>
        <v>14.060192392128688</v>
      </c>
      <c r="S40" s="20">
        <f t="shared" si="3"/>
        <v>0.14060192392128687</v>
      </c>
      <c r="T40" s="15">
        <f t="shared" si="4"/>
        <v>2558.9550153674209</v>
      </c>
      <c r="U40" s="15">
        <f t="shared" si="5"/>
        <v>2.5919373486377926</v>
      </c>
      <c r="V40" s="21">
        <v>0.53100000000000003</v>
      </c>
      <c r="W40" s="20">
        <f t="shared" si="6"/>
        <v>16.172278211497517</v>
      </c>
      <c r="X40" s="20">
        <f t="shared" si="7"/>
        <v>31.74</v>
      </c>
      <c r="Y40" s="21">
        <f t="shared" si="8"/>
        <v>0.15470701974632808</v>
      </c>
      <c r="Z40" s="21">
        <f t="shared" si="9"/>
        <v>0.55307798903842731</v>
      </c>
      <c r="AA40" s="21">
        <f t="shared" si="10"/>
        <v>1.0407600000000001</v>
      </c>
      <c r="AB40" s="21">
        <f t="shared" si="11"/>
        <v>1.0840328585153176</v>
      </c>
    </row>
    <row r="41" spans="1:28" ht="16" customHeight="1" x14ac:dyDescent="0.2">
      <c r="A41" t="s">
        <v>28</v>
      </c>
      <c r="B41" t="s">
        <v>29</v>
      </c>
      <c r="C41" t="s">
        <v>119</v>
      </c>
      <c r="D41" t="s">
        <v>120</v>
      </c>
      <c r="E41" t="s">
        <v>32</v>
      </c>
      <c r="F41" t="s">
        <v>38</v>
      </c>
      <c r="G41" t="s">
        <v>34</v>
      </c>
      <c r="H41" s="15">
        <v>564</v>
      </c>
      <c r="I41" s="15">
        <f t="shared" si="14"/>
        <v>3.2487208960166578</v>
      </c>
      <c r="J41" s="17">
        <v>0.47099999999999997</v>
      </c>
      <c r="K41" s="17">
        <v>299000</v>
      </c>
      <c r="L41" s="11" t="s">
        <v>35</v>
      </c>
      <c r="M41" s="11" t="s">
        <v>35</v>
      </c>
      <c r="N41" s="14">
        <v>65</v>
      </c>
      <c r="O41" s="11">
        <v>249.89</v>
      </c>
      <c r="P41" s="13">
        <v>17.378</v>
      </c>
      <c r="Q41" s="11">
        <f t="shared" si="1"/>
        <v>217.22499999999999</v>
      </c>
      <c r="R41" s="20">
        <f t="shared" si="2"/>
        <v>86.928248429308894</v>
      </c>
      <c r="S41" s="20">
        <f t="shared" si="3"/>
        <v>0.86928248429308896</v>
      </c>
      <c r="T41" s="15">
        <f t="shared" si="4"/>
        <v>490.27532114130219</v>
      </c>
      <c r="U41" s="15">
        <f t="shared" si="5"/>
        <v>3.3095599671696885</v>
      </c>
      <c r="V41" s="21">
        <v>5.1400000000000001E-2</v>
      </c>
      <c r="W41" s="20">
        <f t="shared" si="6"/>
        <v>3.3430245137530208</v>
      </c>
      <c r="X41" s="20">
        <f t="shared" si="7"/>
        <v>31.74</v>
      </c>
      <c r="Y41" s="21">
        <f t="shared" si="8"/>
        <v>0.13860754607481021</v>
      </c>
      <c r="Z41" s="21">
        <f t="shared" si="9"/>
        <v>0.1478310245817184</v>
      </c>
      <c r="AA41" s="21">
        <f t="shared" si="10"/>
        <v>0.100744</v>
      </c>
      <c r="AB41" s="21">
        <f t="shared" si="11"/>
        <v>0.28974880818016807</v>
      </c>
    </row>
    <row r="42" spans="1:28" ht="16" customHeight="1" x14ac:dyDescent="0.2">
      <c r="A42" t="s">
        <v>28</v>
      </c>
      <c r="B42" t="s">
        <v>29</v>
      </c>
      <c r="C42" t="s">
        <v>121</v>
      </c>
      <c r="D42" t="s">
        <v>122</v>
      </c>
      <c r="E42" t="s">
        <v>32</v>
      </c>
      <c r="F42" t="s">
        <v>38</v>
      </c>
      <c r="G42" t="s">
        <v>34</v>
      </c>
      <c r="H42" s="15">
        <v>89.6</v>
      </c>
      <c r="I42" s="15">
        <f t="shared" si="14"/>
        <v>4.0476919903378752</v>
      </c>
      <c r="J42" s="17">
        <v>1.22</v>
      </c>
      <c r="K42" s="17">
        <v>549000</v>
      </c>
      <c r="L42" s="11" t="s">
        <v>35</v>
      </c>
      <c r="M42" s="11" t="s">
        <v>35</v>
      </c>
      <c r="N42" s="14">
        <v>65</v>
      </c>
      <c r="O42" s="11">
        <v>249.33</v>
      </c>
      <c r="P42" s="13">
        <v>5.5910000000000002</v>
      </c>
      <c r="Q42" s="11">
        <f t="shared" si="1"/>
        <v>69.887500000000003</v>
      </c>
      <c r="R42" s="20">
        <f t="shared" si="2"/>
        <v>28.030120723539088</v>
      </c>
      <c r="S42" s="20">
        <f t="shared" si="3"/>
        <v>0.28030120723539087</v>
      </c>
      <c r="T42" s="15">
        <f t="shared" si="4"/>
        <v>25.114988168291021</v>
      </c>
      <c r="U42" s="15">
        <f t="shared" si="5"/>
        <v>4.6000670221011726</v>
      </c>
      <c r="V42" s="21">
        <v>8.77E-2</v>
      </c>
      <c r="W42" s="20">
        <f t="shared" si="6"/>
        <v>8.5777606868181007</v>
      </c>
      <c r="X42" s="20">
        <f t="shared" si="7"/>
        <v>31.74</v>
      </c>
      <c r="Y42" s="21">
        <f t="shared" si="8"/>
        <v>0.14279015954228286</v>
      </c>
      <c r="Z42" s="21">
        <f t="shared" si="9"/>
        <v>0.16757183433414635</v>
      </c>
      <c r="AA42" s="21">
        <f t="shared" si="10"/>
        <v>0.17189199999999999</v>
      </c>
      <c r="AB42" s="21">
        <f t="shared" si="11"/>
        <v>0.32844079529492687</v>
      </c>
    </row>
    <row r="43" spans="1:28" ht="16" customHeight="1" x14ac:dyDescent="0.2">
      <c r="A43" t="s">
        <v>28</v>
      </c>
      <c r="B43" t="s">
        <v>29</v>
      </c>
      <c r="C43" t="s">
        <v>123</v>
      </c>
      <c r="D43" t="s">
        <v>124</v>
      </c>
      <c r="E43" t="s">
        <v>32</v>
      </c>
      <c r="F43" t="s">
        <v>33</v>
      </c>
      <c r="G43" t="s">
        <v>34</v>
      </c>
      <c r="H43" s="15">
        <v>86.3</v>
      </c>
      <c r="I43" s="15">
        <f t="shared" si="14"/>
        <v>4.0639892042847903</v>
      </c>
      <c r="J43" s="17">
        <v>1.04</v>
      </c>
      <c r="K43" s="17">
        <v>482000</v>
      </c>
      <c r="L43" s="11" t="s">
        <v>35</v>
      </c>
      <c r="M43" s="11" t="s">
        <v>35</v>
      </c>
      <c r="N43" s="14">
        <v>65</v>
      </c>
      <c r="O43" s="11">
        <v>250.55</v>
      </c>
      <c r="P43" s="13">
        <v>2.06</v>
      </c>
      <c r="Q43" s="11">
        <f t="shared" si="1"/>
        <v>25.75</v>
      </c>
      <c r="R43" s="20">
        <f t="shared" si="2"/>
        <v>10.277389742566353</v>
      </c>
      <c r="S43" s="20">
        <f t="shared" si="3"/>
        <v>0.10277389742566352</v>
      </c>
      <c r="T43" s="15">
        <f t="shared" si="4"/>
        <v>8.8693873478347616</v>
      </c>
      <c r="U43" s="15">
        <f t="shared" si="5"/>
        <v>5.0521063779860764</v>
      </c>
      <c r="V43" s="21">
        <v>0.22500000000000001</v>
      </c>
      <c r="W43" s="20">
        <f t="shared" si="6"/>
        <v>21.806601941747569</v>
      </c>
      <c r="X43" s="20">
        <f t="shared" si="7"/>
        <v>31.74</v>
      </c>
      <c r="Y43" s="21">
        <f t="shared" si="8"/>
        <v>0.16724316166311021</v>
      </c>
      <c r="Z43" s="21">
        <f t="shared" si="9"/>
        <v>0.28034848871194795</v>
      </c>
      <c r="AA43" s="21">
        <f t="shared" si="10"/>
        <v>0.441</v>
      </c>
      <c r="AB43" s="21">
        <f t="shared" si="11"/>
        <v>0.54948303787541797</v>
      </c>
    </row>
    <row r="44" spans="1:28" ht="16" customHeight="1" x14ac:dyDescent="0.2">
      <c r="A44" t="s">
        <v>28</v>
      </c>
      <c r="B44" t="s">
        <v>29</v>
      </c>
      <c r="C44" t="s">
        <v>125</v>
      </c>
      <c r="D44" t="s">
        <v>126</v>
      </c>
      <c r="E44" t="s">
        <v>32</v>
      </c>
      <c r="F44" t="s">
        <v>33</v>
      </c>
      <c r="G44" t="s">
        <v>34</v>
      </c>
      <c r="H44" s="15">
        <v>3.44</v>
      </c>
      <c r="I44" s="15">
        <f t="shared" si="14"/>
        <v>5.46344155742847</v>
      </c>
      <c r="J44" s="17">
        <v>0.58799999999999997</v>
      </c>
      <c r="K44" s="17">
        <v>349000</v>
      </c>
      <c r="L44" s="11" t="s">
        <v>35</v>
      </c>
      <c r="M44" s="11" t="s">
        <v>35</v>
      </c>
      <c r="N44" s="14">
        <v>65</v>
      </c>
      <c r="O44" s="11">
        <v>251.01</v>
      </c>
      <c r="P44" s="13">
        <v>12.994</v>
      </c>
      <c r="Q44" s="11">
        <f t="shared" si="1"/>
        <v>162.42500000000001</v>
      </c>
      <c r="R44" s="20">
        <f t="shared" si="2"/>
        <v>64.708577347516041</v>
      </c>
      <c r="S44" s="20">
        <f t="shared" si="3"/>
        <v>0.64708577347516039</v>
      </c>
      <c r="T44" s="15">
        <f t="shared" si="4"/>
        <v>2.2259750607545516</v>
      </c>
      <c r="U44" s="15">
        <f t="shared" si="5"/>
        <v>5.6524797056964386</v>
      </c>
      <c r="V44" s="21">
        <v>6.7000000000000004E-2</v>
      </c>
      <c r="W44" s="20">
        <f t="shared" si="6"/>
        <v>4.18076342927505</v>
      </c>
      <c r="X44" s="20">
        <f t="shared" si="7"/>
        <v>31.74</v>
      </c>
      <c r="Y44" s="21">
        <f t="shared" si="8"/>
        <v>0.13903572639709127</v>
      </c>
      <c r="Z44" s="21">
        <f t="shared" si="9"/>
        <v>0.15433707660431703</v>
      </c>
      <c r="AA44" s="21">
        <f t="shared" si="10"/>
        <v>0.13131999999999999</v>
      </c>
      <c r="AB44" s="21">
        <f t="shared" si="11"/>
        <v>0.30250067014446136</v>
      </c>
    </row>
    <row r="45" spans="1:28" ht="16" customHeight="1" x14ac:dyDescent="0.2">
      <c r="A45" t="s">
        <v>28</v>
      </c>
      <c r="B45" t="s">
        <v>29</v>
      </c>
      <c r="C45" t="s">
        <v>127</v>
      </c>
      <c r="D45" t="s">
        <v>128</v>
      </c>
      <c r="E45" t="s">
        <v>32</v>
      </c>
      <c r="F45" t="s">
        <v>38</v>
      </c>
      <c r="G45" t="s">
        <v>34</v>
      </c>
      <c r="H45" s="15">
        <v>546</v>
      </c>
      <c r="I45" s="15">
        <f t="shared" si="14"/>
        <v>3.2628073572952627</v>
      </c>
      <c r="J45" s="17">
        <v>0.51900000000000002</v>
      </c>
      <c r="K45" s="17">
        <v>320000</v>
      </c>
      <c r="L45" s="11" t="s">
        <v>35</v>
      </c>
      <c r="M45" s="11" t="s">
        <v>35</v>
      </c>
      <c r="N45" s="14">
        <v>65</v>
      </c>
      <c r="O45" s="11">
        <v>249.72</v>
      </c>
      <c r="P45" s="13">
        <v>9.9079999999999995</v>
      </c>
      <c r="Q45" s="11">
        <f t="shared" si="1"/>
        <v>123.85</v>
      </c>
      <c r="R45" s="20">
        <f t="shared" si="2"/>
        <v>49.595547012654173</v>
      </c>
      <c r="S45" s="20">
        <f t="shared" si="3"/>
        <v>0.49595547012654173</v>
      </c>
      <c r="T45" s="15">
        <f t="shared" si="4"/>
        <v>270.79168668909176</v>
      </c>
      <c r="U45" s="15">
        <f t="shared" si="5"/>
        <v>3.5673646726326589</v>
      </c>
      <c r="V45" s="21">
        <v>3.2800000000000003E-2</v>
      </c>
      <c r="W45" s="20">
        <f t="shared" si="6"/>
        <v>5.2150666128381111</v>
      </c>
      <c r="X45" s="20">
        <f t="shared" si="7"/>
        <v>31.74</v>
      </c>
      <c r="Y45" s="21">
        <f t="shared" si="8"/>
        <v>0.13969333786721586</v>
      </c>
      <c r="Z45" s="21">
        <f t="shared" si="9"/>
        <v>0.14349239925683913</v>
      </c>
      <c r="AA45" s="21">
        <f t="shared" si="10"/>
        <v>6.4287999999999998E-2</v>
      </c>
      <c r="AB45" s="21">
        <f t="shared" si="11"/>
        <v>0.28124510254340468</v>
      </c>
    </row>
    <row r="46" spans="1:28" ht="16" customHeight="1" x14ac:dyDescent="0.2">
      <c r="A46" t="s">
        <v>28</v>
      </c>
      <c r="B46" t="s">
        <v>29</v>
      </c>
      <c r="C46" t="s">
        <v>129</v>
      </c>
      <c r="D46" t="s">
        <v>130</v>
      </c>
      <c r="E46" t="s">
        <v>32</v>
      </c>
      <c r="F46" t="s">
        <v>38</v>
      </c>
      <c r="G46" t="s">
        <v>34</v>
      </c>
      <c r="H46" s="15">
        <v>17600</v>
      </c>
      <c r="I46" s="15">
        <f t="shared" si="14"/>
        <v>1.7544873321858503</v>
      </c>
      <c r="J46" s="17">
        <v>1.25</v>
      </c>
      <c r="K46" s="17">
        <v>622000</v>
      </c>
      <c r="L46" s="11" t="s">
        <v>35</v>
      </c>
      <c r="M46" s="11" t="s">
        <v>35</v>
      </c>
      <c r="N46" s="14">
        <v>65</v>
      </c>
      <c r="O46" s="11">
        <v>250.54</v>
      </c>
      <c r="P46" s="13">
        <v>9.8659999999999997</v>
      </c>
      <c r="Q46" s="11">
        <f t="shared" si="1"/>
        <v>123.32499999999999</v>
      </c>
      <c r="R46" s="20">
        <f t="shared" si="2"/>
        <v>49.223676857986746</v>
      </c>
      <c r="S46" s="20">
        <f t="shared" si="3"/>
        <v>0.49223676857986748</v>
      </c>
      <c r="T46" s="15">
        <f t="shared" si="4"/>
        <v>8663.3671270056675</v>
      </c>
      <c r="U46" s="15">
        <f t="shared" si="5"/>
        <v>2.062313281138989</v>
      </c>
      <c r="V46" s="21">
        <v>0.53600000000000003</v>
      </c>
      <c r="W46" s="20">
        <f t="shared" si="6"/>
        <v>5.2336063247516726</v>
      </c>
      <c r="X46" s="20">
        <f t="shared" si="7"/>
        <v>31.74</v>
      </c>
      <c r="Y46" s="21">
        <f t="shared" si="8"/>
        <v>0.13970641482500321</v>
      </c>
      <c r="Z46" s="21">
        <f t="shared" si="9"/>
        <v>0.55390782838235453</v>
      </c>
      <c r="AA46" s="21">
        <f t="shared" si="10"/>
        <v>1.0505599999999999</v>
      </c>
      <c r="AB46" s="21">
        <f t="shared" si="11"/>
        <v>1.0856593436294149</v>
      </c>
    </row>
    <row r="47" spans="1:28" ht="16" customHeight="1" x14ac:dyDescent="0.2">
      <c r="A47" t="s">
        <v>28</v>
      </c>
      <c r="B47" t="s">
        <v>29</v>
      </c>
      <c r="C47" t="s">
        <v>131</v>
      </c>
      <c r="D47" t="s">
        <v>132</v>
      </c>
      <c r="E47" t="s">
        <v>32</v>
      </c>
      <c r="F47" t="s">
        <v>33</v>
      </c>
      <c r="G47" t="s">
        <v>34</v>
      </c>
      <c r="H47" s="15">
        <v>143</v>
      </c>
      <c r="I47" s="15">
        <f t="shared" si="14"/>
        <v>3.8446639625349381</v>
      </c>
      <c r="J47" s="17">
        <v>0.86899999999999999</v>
      </c>
      <c r="K47" s="17">
        <v>469000</v>
      </c>
      <c r="L47" s="11" t="s">
        <v>35</v>
      </c>
      <c r="M47" s="11" t="s">
        <v>35</v>
      </c>
      <c r="N47" s="14">
        <v>65</v>
      </c>
      <c r="O47" s="11">
        <v>249.08</v>
      </c>
      <c r="P47" s="13">
        <v>17.905000000000001</v>
      </c>
      <c r="Q47" s="11">
        <f t="shared" si="1"/>
        <v>223.8125</v>
      </c>
      <c r="R47" s="20">
        <f t="shared" si="2"/>
        <v>89.855668861409981</v>
      </c>
      <c r="S47" s="20">
        <f t="shared" si="3"/>
        <v>0.89855668861409976</v>
      </c>
      <c r="T47" s="15">
        <f t="shared" si="4"/>
        <v>128.49360647181626</v>
      </c>
      <c r="U47" s="15">
        <f t="shared" si="5"/>
        <v>3.8911184812283226</v>
      </c>
      <c r="V47" s="21">
        <v>0.29699999999999999</v>
      </c>
      <c r="W47" s="20">
        <f t="shared" si="6"/>
        <v>3.2699413571628035</v>
      </c>
      <c r="X47" s="20">
        <f t="shared" si="7"/>
        <v>31.74</v>
      </c>
      <c r="Y47" s="21">
        <f t="shared" si="8"/>
        <v>0.13857465963545415</v>
      </c>
      <c r="Z47" s="21">
        <f t="shared" si="9"/>
        <v>0.32773760280608932</v>
      </c>
      <c r="AA47" s="21">
        <f t="shared" si="10"/>
        <v>0.58211999999999997</v>
      </c>
      <c r="AB47" s="21">
        <f t="shared" si="11"/>
        <v>0.6423657014999351</v>
      </c>
    </row>
    <row r="48" spans="1:28" ht="16" customHeight="1" x14ac:dyDescent="0.2">
      <c r="A48" t="s">
        <v>28</v>
      </c>
      <c r="B48" t="s">
        <v>29</v>
      </c>
      <c r="C48" t="s">
        <v>133</v>
      </c>
      <c r="D48" t="s">
        <v>134</v>
      </c>
      <c r="E48" t="s">
        <v>32</v>
      </c>
      <c r="F48" t="s">
        <v>33</v>
      </c>
      <c r="G48" t="s">
        <v>34</v>
      </c>
      <c r="H48" s="15">
        <v>67.5</v>
      </c>
      <c r="I48" s="15">
        <f t="shared" si="14"/>
        <v>4.1706962271689747</v>
      </c>
      <c r="J48" s="17">
        <v>0.77100000000000002</v>
      </c>
      <c r="K48" s="17">
        <v>427000</v>
      </c>
      <c r="L48" s="11" t="s">
        <v>35</v>
      </c>
      <c r="M48" s="11" t="s">
        <v>35</v>
      </c>
      <c r="N48" s="14">
        <v>65</v>
      </c>
      <c r="O48" s="11">
        <v>250.6</v>
      </c>
      <c r="P48" s="13">
        <v>9.766</v>
      </c>
      <c r="Q48" s="11">
        <f t="shared" si="1"/>
        <v>122.075</v>
      </c>
      <c r="R48" s="20">
        <f t="shared" si="2"/>
        <v>48.71308858739026</v>
      </c>
      <c r="S48" s="20">
        <f t="shared" si="3"/>
        <v>0.48713088587390257</v>
      </c>
      <c r="T48" s="15">
        <f t="shared" si="4"/>
        <v>32.881334796488424</v>
      </c>
      <c r="U48" s="15">
        <f t="shared" si="5"/>
        <v>4.4830505608709448</v>
      </c>
      <c r="V48" s="21">
        <v>0.255</v>
      </c>
      <c r="W48" s="20">
        <f t="shared" si="6"/>
        <v>5.2783903338111822</v>
      </c>
      <c r="X48" s="20">
        <f t="shared" si="7"/>
        <v>31.74</v>
      </c>
      <c r="Y48" s="21">
        <f t="shared" si="8"/>
        <v>0.13973818949708794</v>
      </c>
      <c r="Z48" s="21">
        <f t="shared" si="9"/>
        <v>0.29077785610999346</v>
      </c>
      <c r="AA48" s="21">
        <f t="shared" si="10"/>
        <v>0.49980000000000002</v>
      </c>
      <c r="AB48" s="21">
        <f t="shared" si="11"/>
        <v>0.56992459797558714</v>
      </c>
    </row>
    <row r="49" spans="1:28" ht="16" customHeight="1" x14ac:dyDescent="0.2">
      <c r="A49" t="s">
        <v>28</v>
      </c>
      <c r="B49" t="s">
        <v>29</v>
      </c>
      <c r="C49" t="s">
        <v>135</v>
      </c>
      <c r="D49" t="s">
        <v>136</v>
      </c>
      <c r="E49" t="s">
        <v>32</v>
      </c>
      <c r="F49" t="s">
        <v>38</v>
      </c>
      <c r="G49" t="s">
        <v>34</v>
      </c>
      <c r="H49" s="16" t="s">
        <v>67</v>
      </c>
      <c r="I49" s="16" t="s">
        <v>67</v>
      </c>
      <c r="J49" s="18" t="s">
        <v>67</v>
      </c>
      <c r="K49" s="18" t="s">
        <v>67</v>
      </c>
      <c r="L49" s="11" t="s">
        <v>35</v>
      </c>
      <c r="M49" s="11" t="s">
        <v>35</v>
      </c>
      <c r="N49" s="14">
        <v>65</v>
      </c>
      <c r="O49" s="11">
        <v>249.5</v>
      </c>
      <c r="P49" s="13">
        <v>16.120999999999999</v>
      </c>
      <c r="Q49" s="11">
        <f t="shared" si="1"/>
        <v>201.51249999999999</v>
      </c>
      <c r="R49" s="20">
        <f t="shared" si="2"/>
        <v>80.766533066132268</v>
      </c>
      <c r="S49" s="20">
        <f t="shared" si="3"/>
        <v>0.80766533066132273</v>
      </c>
      <c r="T49" s="15" t="str">
        <f t="shared" si="4"/>
        <v>no data</v>
      </c>
      <c r="U49" s="15" t="str">
        <f t="shared" si="5"/>
        <v>no data</v>
      </c>
      <c r="V49" s="22" t="s">
        <v>68</v>
      </c>
      <c r="W49" s="20">
        <f t="shared" si="6"/>
        <v>3.5366329632156814</v>
      </c>
      <c r="X49" s="20">
        <f t="shared" si="7"/>
        <v>31.74</v>
      </c>
      <c r="Y49" s="21">
        <f t="shared" si="8"/>
        <v>0.13869814039497166</v>
      </c>
      <c r="Z49" s="21" t="str">
        <f t="shared" si="9"/>
        <v>-</v>
      </c>
      <c r="AA49" s="21" t="str">
        <f t="shared" si="10"/>
        <v>-</v>
      </c>
      <c r="AB49" s="21" t="str">
        <f t="shared" si="11"/>
        <v>-</v>
      </c>
    </row>
    <row r="50" spans="1:28" ht="16" customHeight="1" x14ac:dyDescent="0.2">
      <c r="A50" t="s">
        <v>28</v>
      </c>
      <c r="B50" t="s">
        <v>29</v>
      </c>
      <c r="C50" t="s">
        <v>137</v>
      </c>
      <c r="D50" t="s">
        <v>138</v>
      </c>
      <c r="E50" t="s">
        <v>32</v>
      </c>
      <c r="F50" t="s">
        <v>38</v>
      </c>
      <c r="G50" t="s">
        <v>34</v>
      </c>
      <c r="H50" s="16" t="s">
        <v>67</v>
      </c>
      <c r="I50" s="16" t="s">
        <v>67</v>
      </c>
      <c r="J50" s="18" t="s">
        <v>67</v>
      </c>
      <c r="K50" s="18" t="s">
        <v>67</v>
      </c>
      <c r="L50" s="11" t="s">
        <v>35</v>
      </c>
      <c r="M50" s="11" t="s">
        <v>35</v>
      </c>
      <c r="N50" s="14">
        <v>65</v>
      </c>
      <c r="O50" s="11">
        <v>250.58</v>
      </c>
      <c r="P50" s="13">
        <v>15.573</v>
      </c>
      <c r="Q50" s="11">
        <f t="shared" si="1"/>
        <v>194.66249999999999</v>
      </c>
      <c r="R50" s="20">
        <f t="shared" si="2"/>
        <v>77.6847713305132</v>
      </c>
      <c r="S50" s="20">
        <f t="shared" si="3"/>
        <v>0.77684771330513203</v>
      </c>
      <c r="T50" s="15" t="str">
        <f t="shared" si="4"/>
        <v>no data</v>
      </c>
      <c r="U50" s="15" t="str">
        <f t="shared" si="5"/>
        <v>no data</v>
      </c>
      <c r="V50" s="22" t="s">
        <v>68</v>
      </c>
      <c r="W50" s="20">
        <f t="shared" si="6"/>
        <v>3.6308212932639821</v>
      </c>
      <c r="X50" s="20">
        <f t="shared" si="7"/>
        <v>31.74</v>
      </c>
      <c r="Y50" s="21">
        <f t="shared" si="8"/>
        <v>0.1387440346335512</v>
      </c>
      <c r="Z50" s="21" t="str">
        <f t="shared" si="9"/>
        <v>-</v>
      </c>
      <c r="AA50" s="21" t="str">
        <f t="shared" si="10"/>
        <v>-</v>
      </c>
      <c r="AB50" s="21" t="str">
        <f t="shared" si="11"/>
        <v>-</v>
      </c>
    </row>
    <row r="51" spans="1:28" ht="16" customHeight="1" x14ac:dyDescent="0.2">
      <c r="A51" t="s">
        <v>28</v>
      </c>
      <c r="B51" t="s">
        <v>29</v>
      </c>
      <c r="C51" t="s">
        <v>139</v>
      </c>
      <c r="D51" t="s">
        <v>140</v>
      </c>
      <c r="E51" t="s">
        <v>32</v>
      </c>
      <c r="F51" t="s">
        <v>33</v>
      </c>
      <c r="G51" t="s">
        <v>34</v>
      </c>
      <c r="H51" s="15">
        <v>13</v>
      </c>
      <c r="I51" s="15">
        <f t="shared" ref="I51:I60" si="15">IF(H51=0, 0, -LOG10(H51*10^-6))</f>
        <v>4.8860566476931631</v>
      </c>
      <c r="J51" s="17">
        <v>0.79100000000000004</v>
      </c>
      <c r="K51" s="17">
        <v>432000</v>
      </c>
      <c r="L51" s="11" t="s">
        <v>35</v>
      </c>
      <c r="M51" s="11" t="s">
        <v>35</v>
      </c>
      <c r="N51" s="14">
        <v>65</v>
      </c>
      <c r="O51" s="11">
        <v>249.84</v>
      </c>
      <c r="P51" s="13">
        <v>1.3919999999999999</v>
      </c>
      <c r="Q51" s="11">
        <f t="shared" si="1"/>
        <v>17.399999999999999</v>
      </c>
      <c r="R51" s="20">
        <f t="shared" si="2"/>
        <v>6.9644572526416901</v>
      </c>
      <c r="S51" s="20">
        <f t="shared" si="3"/>
        <v>6.9644572526416898E-2</v>
      </c>
      <c r="T51" s="15">
        <f t="shared" si="4"/>
        <v>0.90537944284341965</v>
      </c>
      <c r="U51" s="15">
        <f t="shared" si="5"/>
        <v>6.0431693706327057</v>
      </c>
      <c r="V51" s="21">
        <v>0.127</v>
      </c>
      <c r="W51" s="20">
        <f t="shared" si="6"/>
        <v>31.858563218390806</v>
      </c>
      <c r="X51" s="20">
        <f t="shared" si="7"/>
        <v>31.74</v>
      </c>
      <c r="Y51" s="21">
        <f t="shared" si="8"/>
        <v>0.19530680368066347</v>
      </c>
      <c r="Z51" s="21">
        <f t="shared" si="9"/>
        <v>0.23296726715132585</v>
      </c>
      <c r="AA51" s="21">
        <f t="shared" si="10"/>
        <v>0.24892</v>
      </c>
      <c r="AB51" s="21">
        <f t="shared" si="11"/>
        <v>0.45661584361659863</v>
      </c>
    </row>
    <row r="52" spans="1:28" ht="16" customHeight="1" x14ac:dyDescent="0.2">
      <c r="A52" t="s">
        <v>28</v>
      </c>
      <c r="B52" t="s">
        <v>29</v>
      </c>
      <c r="C52" t="s">
        <v>141</v>
      </c>
      <c r="D52" t="s">
        <v>142</v>
      </c>
      <c r="E52" t="s">
        <v>32</v>
      </c>
      <c r="F52" t="s">
        <v>33</v>
      </c>
      <c r="G52" t="s">
        <v>34</v>
      </c>
      <c r="H52" s="15">
        <v>3.36</v>
      </c>
      <c r="I52" s="15">
        <f t="shared" si="15"/>
        <v>5.4736607226101563</v>
      </c>
      <c r="J52" s="17">
        <v>0.47499999999999998</v>
      </c>
      <c r="K52" s="17">
        <v>268000</v>
      </c>
      <c r="L52" s="11" t="s">
        <v>35</v>
      </c>
      <c r="M52" s="11" t="s">
        <v>35</v>
      </c>
      <c r="N52" s="14">
        <v>65</v>
      </c>
      <c r="O52" s="11">
        <v>249.99</v>
      </c>
      <c r="P52" s="13">
        <v>16.574000000000002</v>
      </c>
      <c r="Q52" s="11">
        <f t="shared" si="1"/>
        <v>207.17500000000001</v>
      </c>
      <c r="R52" s="20">
        <f t="shared" si="2"/>
        <v>82.87331493259731</v>
      </c>
      <c r="S52" s="20">
        <f t="shared" si="3"/>
        <v>0.82873314932597308</v>
      </c>
      <c r="T52" s="15">
        <f t="shared" si="4"/>
        <v>2.7845433817352694</v>
      </c>
      <c r="U52" s="15">
        <f t="shared" si="5"/>
        <v>5.5552460116397349</v>
      </c>
      <c r="V52" s="21">
        <v>7.5399999999999995E-2</v>
      </c>
      <c r="W52" s="20">
        <f t="shared" si="6"/>
        <v>3.4634753227947384</v>
      </c>
      <c r="X52" s="20">
        <f t="shared" si="7"/>
        <v>31.74</v>
      </c>
      <c r="Y52" s="21">
        <f t="shared" si="8"/>
        <v>0.13866331572881713</v>
      </c>
      <c r="Z52" s="21">
        <f t="shared" si="9"/>
        <v>0.15783749595362193</v>
      </c>
      <c r="AA52" s="21">
        <f t="shared" si="10"/>
        <v>0.147784</v>
      </c>
      <c r="AB52" s="21">
        <f t="shared" si="11"/>
        <v>0.30936149206909896</v>
      </c>
    </row>
    <row r="53" spans="1:28" ht="16" customHeight="1" x14ac:dyDescent="0.2">
      <c r="A53" t="s">
        <v>28</v>
      </c>
      <c r="B53" t="s">
        <v>29</v>
      </c>
      <c r="C53" t="s">
        <v>143</v>
      </c>
      <c r="D53" t="s">
        <v>144</v>
      </c>
      <c r="E53" t="s">
        <v>32</v>
      </c>
      <c r="F53" t="s">
        <v>38</v>
      </c>
      <c r="G53" t="s">
        <v>34</v>
      </c>
      <c r="H53" s="15">
        <v>16900</v>
      </c>
      <c r="I53" s="15">
        <f t="shared" si="15"/>
        <v>1.7721132953863266</v>
      </c>
      <c r="J53" s="17">
        <v>1.1399999999999999</v>
      </c>
      <c r="K53" s="17">
        <v>584000</v>
      </c>
      <c r="L53" s="11" t="s">
        <v>35</v>
      </c>
      <c r="M53" s="11" t="s">
        <v>35</v>
      </c>
      <c r="N53" s="14">
        <v>65</v>
      </c>
      <c r="O53" s="11">
        <v>250.11</v>
      </c>
      <c r="P53" s="13">
        <v>17.216000000000001</v>
      </c>
      <c r="Q53" s="11">
        <f t="shared" si="1"/>
        <v>215.20000000000002</v>
      </c>
      <c r="R53" s="20">
        <f t="shared" si="2"/>
        <v>86.042141457758589</v>
      </c>
      <c r="S53" s="20">
        <f t="shared" si="3"/>
        <v>0.86042141457758592</v>
      </c>
      <c r="T53" s="15">
        <f t="shared" si="4"/>
        <v>14541.121906361202</v>
      </c>
      <c r="U53" s="15">
        <f t="shared" si="5"/>
        <v>1.8374020846086716</v>
      </c>
      <c r="V53" s="21">
        <v>0.55700000000000005</v>
      </c>
      <c r="W53" s="20">
        <f t="shared" si="6"/>
        <v>3.3663894052044605</v>
      </c>
      <c r="X53" s="20">
        <f t="shared" si="7"/>
        <v>31.74</v>
      </c>
      <c r="Y53" s="21">
        <f t="shared" si="8"/>
        <v>0.13861821162826002</v>
      </c>
      <c r="Z53" s="21">
        <f t="shared" si="9"/>
        <v>0.5739895544302327</v>
      </c>
      <c r="AA53" s="21">
        <f t="shared" si="10"/>
        <v>1.09172</v>
      </c>
      <c r="AB53" s="21">
        <f t="shared" si="11"/>
        <v>1.1250195266832561</v>
      </c>
    </row>
    <row r="54" spans="1:28" ht="16" customHeight="1" x14ac:dyDescent="0.2">
      <c r="A54" t="s">
        <v>28</v>
      </c>
      <c r="B54" t="s">
        <v>29</v>
      </c>
      <c r="C54" t="s">
        <v>145</v>
      </c>
      <c r="D54" t="s">
        <v>146</v>
      </c>
      <c r="E54" t="s">
        <v>32</v>
      </c>
      <c r="F54" t="s">
        <v>38</v>
      </c>
      <c r="G54" t="s">
        <v>34</v>
      </c>
      <c r="H54" s="15">
        <v>18900</v>
      </c>
      <c r="I54" s="15">
        <f t="shared" si="15"/>
        <v>1.7235381958267559</v>
      </c>
      <c r="J54" s="17">
        <v>1.1299999999999999</v>
      </c>
      <c r="K54" s="17">
        <v>580000</v>
      </c>
      <c r="L54" s="11" t="s">
        <v>35</v>
      </c>
      <c r="M54" s="11" t="s">
        <v>35</v>
      </c>
      <c r="N54" s="14">
        <v>65</v>
      </c>
      <c r="O54" s="11">
        <v>249.99</v>
      </c>
      <c r="P54" s="13">
        <v>2.5150000000000001</v>
      </c>
      <c r="Q54" s="11">
        <f t="shared" si="1"/>
        <v>31.4375</v>
      </c>
      <c r="R54" s="20">
        <f t="shared" si="2"/>
        <v>12.575503020120804</v>
      </c>
      <c r="S54" s="20">
        <f t="shared" si="3"/>
        <v>0.12575503020120804</v>
      </c>
      <c r="T54" s="15">
        <f t="shared" si="4"/>
        <v>2376.7700708028319</v>
      </c>
      <c r="U54" s="15">
        <f t="shared" si="5"/>
        <v>2.6240128299720697</v>
      </c>
      <c r="V54" s="21">
        <v>0.52600000000000002</v>
      </c>
      <c r="W54" s="20">
        <f t="shared" si="6"/>
        <v>18.017057654075543</v>
      </c>
      <c r="X54" s="20">
        <f t="shared" si="7"/>
        <v>31.74</v>
      </c>
      <c r="Y54" s="21">
        <f t="shared" si="8"/>
        <v>0.15850510900100084</v>
      </c>
      <c r="Z54" s="21">
        <f t="shared" si="9"/>
        <v>0.54936314909121742</v>
      </c>
      <c r="AA54" s="21">
        <f t="shared" si="10"/>
        <v>1.0309600000000001</v>
      </c>
      <c r="AB54" s="21">
        <f t="shared" si="11"/>
        <v>1.076751772218786</v>
      </c>
    </row>
    <row r="55" spans="1:28" ht="16" customHeight="1" x14ac:dyDescent="0.2">
      <c r="A55" t="s">
        <v>28</v>
      </c>
      <c r="B55" t="s">
        <v>29</v>
      </c>
      <c r="C55" t="s">
        <v>147</v>
      </c>
      <c r="D55" t="s">
        <v>148</v>
      </c>
      <c r="E55" t="s">
        <v>32</v>
      </c>
      <c r="F55" t="s">
        <v>33</v>
      </c>
      <c r="G55" t="s">
        <v>34</v>
      </c>
      <c r="H55" s="15">
        <v>27.1</v>
      </c>
      <c r="I55" s="15">
        <f t="shared" si="15"/>
        <v>4.5670307091255946</v>
      </c>
      <c r="J55" s="17">
        <v>0.62</v>
      </c>
      <c r="K55" s="17">
        <v>362000</v>
      </c>
      <c r="L55" s="11" t="s">
        <v>35</v>
      </c>
      <c r="M55" s="11" t="s">
        <v>35</v>
      </c>
      <c r="N55" s="14">
        <v>65</v>
      </c>
      <c r="O55" s="11">
        <v>249.83</v>
      </c>
      <c r="P55" s="13">
        <v>13.994999999999999</v>
      </c>
      <c r="Q55" s="11">
        <f t="shared" si="1"/>
        <v>174.9375</v>
      </c>
      <c r="R55" s="20">
        <f t="shared" si="2"/>
        <v>70.022615378457346</v>
      </c>
      <c r="S55" s="20">
        <f t="shared" si="3"/>
        <v>0.70022615378457342</v>
      </c>
      <c r="T55" s="15">
        <f t="shared" si="4"/>
        <v>18.976128767561942</v>
      </c>
      <c r="U55" s="15">
        <f t="shared" si="5"/>
        <v>4.7217923812852742</v>
      </c>
      <c r="V55" s="21">
        <v>0.17</v>
      </c>
      <c r="W55" s="20">
        <f t="shared" si="6"/>
        <v>3.9432440157199</v>
      </c>
      <c r="X55" s="20">
        <f t="shared" si="7"/>
        <v>31.74</v>
      </c>
      <c r="Y55" s="21">
        <f t="shared" si="8"/>
        <v>0.13890478221728411</v>
      </c>
      <c r="Z55" s="21">
        <f t="shared" si="9"/>
        <v>0.21953254547522363</v>
      </c>
      <c r="AA55" s="21">
        <f t="shared" si="10"/>
        <v>0.3332</v>
      </c>
      <c r="AB55" s="21">
        <f t="shared" si="11"/>
        <v>0.43028378913143833</v>
      </c>
    </row>
    <row r="56" spans="1:28" ht="16" customHeight="1" x14ac:dyDescent="0.2">
      <c r="A56" t="s">
        <v>28</v>
      </c>
      <c r="B56" t="s">
        <v>29</v>
      </c>
      <c r="C56" t="s">
        <v>149</v>
      </c>
      <c r="D56" t="s">
        <v>150</v>
      </c>
      <c r="E56" t="s">
        <v>32</v>
      </c>
      <c r="F56" t="s">
        <v>33</v>
      </c>
      <c r="G56" t="s">
        <v>34</v>
      </c>
      <c r="H56" s="15">
        <v>0.90300000000000002</v>
      </c>
      <c r="I56" s="15">
        <f t="shared" si="15"/>
        <v>6.0443122496864943</v>
      </c>
      <c r="J56" s="17">
        <v>0.503</v>
      </c>
      <c r="K56" s="17">
        <v>313000</v>
      </c>
      <c r="L56" s="11" t="s">
        <v>35</v>
      </c>
      <c r="M56" s="11" t="s">
        <v>35</v>
      </c>
      <c r="N56" s="14">
        <v>65</v>
      </c>
      <c r="O56" s="11">
        <v>250.59</v>
      </c>
      <c r="P56" s="13">
        <v>11.329000000000001</v>
      </c>
      <c r="Q56" s="11">
        <f t="shared" si="1"/>
        <v>141.61250000000001</v>
      </c>
      <c r="R56" s="20">
        <f t="shared" si="2"/>
        <v>56.51163254718864</v>
      </c>
      <c r="S56" s="20">
        <f t="shared" si="3"/>
        <v>0.56511632547188639</v>
      </c>
      <c r="T56" s="15">
        <f t="shared" si="4"/>
        <v>0.51030004190111344</v>
      </c>
      <c r="U56" s="15">
        <f t="shared" si="5"/>
        <v>6.2921743960075265</v>
      </c>
      <c r="V56" s="21">
        <v>9.7900000000000001E-2</v>
      </c>
      <c r="W56" s="20">
        <f t="shared" si="6"/>
        <v>4.6688092505958156</v>
      </c>
      <c r="X56" s="20">
        <f t="shared" si="7"/>
        <v>31.74</v>
      </c>
      <c r="Y56" s="21">
        <f t="shared" si="8"/>
        <v>0.1393283695070679</v>
      </c>
      <c r="Z56" s="21">
        <f t="shared" si="9"/>
        <v>0.17028448123507334</v>
      </c>
      <c r="AA56" s="21">
        <f t="shared" si="10"/>
        <v>0.191884</v>
      </c>
      <c r="AB56" s="21">
        <f t="shared" si="11"/>
        <v>0.33375758322074373</v>
      </c>
    </row>
    <row r="57" spans="1:28" ht="16" customHeight="1" x14ac:dyDescent="0.2">
      <c r="A57" t="s">
        <v>28</v>
      </c>
      <c r="B57" t="s">
        <v>29</v>
      </c>
      <c r="C57" t="s">
        <v>151</v>
      </c>
      <c r="D57" t="s">
        <v>152</v>
      </c>
      <c r="E57" t="s">
        <v>32</v>
      </c>
      <c r="F57" t="s">
        <v>33</v>
      </c>
      <c r="G57" t="s">
        <v>34</v>
      </c>
      <c r="H57" s="15">
        <v>12</v>
      </c>
      <c r="I57" s="15">
        <f t="shared" si="15"/>
        <v>4.9208187539523749</v>
      </c>
      <c r="J57" s="17">
        <v>0.74299999999999999</v>
      </c>
      <c r="K57" s="17">
        <v>413000</v>
      </c>
      <c r="L57" s="11" t="s">
        <v>35</v>
      </c>
      <c r="M57" s="11" t="s">
        <v>81</v>
      </c>
      <c r="N57" s="14">
        <v>65</v>
      </c>
      <c r="O57" s="11">
        <v>250.74</v>
      </c>
      <c r="P57" s="23" t="s">
        <v>82</v>
      </c>
      <c r="Q57" s="11" t="str">
        <f t="shared" si="1"/>
        <v>-</v>
      </c>
      <c r="R57" s="24" t="str">
        <f t="shared" si="2"/>
        <v>-</v>
      </c>
      <c r="S57" s="20" t="str">
        <f t="shared" si="3"/>
        <v>-</v>
      </c>
      <c r="T57" s="15" t="str">
        <f t="shared" si="4"/>
        <v>-</v>
      </c>
      <c r="U57" s="15" t="str">
        <f t="shared" si="5"/>
        <v>-</v>
      </c>
      <c r="V57" s="21">
        <v>0.21299999999999999</v>
      </c>
      <c r="W57" s="20" t="str">
        <f t="shared" si="6"/>
        <v>-</v>
      </c>
      <c r="X57" s="20" t="str">
        <f t="shared" si="7"/>
        <v>-</v>
      </c>
      <c r="Y57" s="21" t="str">
        <f t="shared" si="8"/>
        <v>-</v>
      </c>
      <c r="Z57" s="21" t="str">
        <f t="shared" si="9"/>
        <v>-</v>
      </c>
      <c r="AA57" s="21">
        <f t="shared" si="10"/>
        <v>0.41747999999999996</v>
      </c>
      <c r="AB57" s="21" t="str">
        <f t="shared" si="11"/>
        <v>-</v>
      </c>
    </row>
    <row r="58" spans="1:28" ht="16" customHeight="1" x14ac:dyDescent="0.2">
      <c r="A58" t="s">
        <v>28</v>
      </c>
      <c r="B58" t="s">
        <v>29</v>
      </c>
      <c r="C58" t="s">
        <v>153</v>
      </c>
      <c r="D58" t="s">
        <v>154</v>
      </c>
      <c r="E58" t="s">
        <v>32</v>
      </c>
      <c r="F58" t="s">
        <v>38</v>
      </c>
      <c r="G58" t="s">
        <v>34</v>
      </c>
      <c r="H58" s="15">
        <v>97.9</v>
      </c>
      <c r="I58" s="15">
        <f t="shared" si="15"/>
        <v>4.0092173081968623</v>
      </c>
      <c r="J58" s="17">
        <v>1.19</v>
      </c>
      <c r="K58" s="17">
        <v>607000</v>
      </c>
      <c r="L58" s="11" t="s">
        <v>35</v>
      </c>
      <c r="M58" s="11" t="s">
        <v>35</v>
      </c>
      <c r="N58" s="14">
        <v>65</v>
      </c>
      <c r="O58" s="11">
        <v>249.52</v>
      </c>
      <c r="P58" s="13">
        <v>9.8559999999999999</v>
      </c>
      <c r="Q58" s="11">
        <f t="shared" si="1"/>
        <v>123.2</v>
      </c>
      <c r="R58" s="20">
        <f t="shared" si="2"/>
        <v>49.374799615261303</v>
      </c>
      <c r="S58" s="20">
        <f t="shared" si="3"/>
        <v>0.493747996152613</v>
      </c>
      <c r="T58" s="15">
        <f t="shared" si="4"/>
        <v>48.337928823340818</v>
      </c>
      <c r="U58" s="15">
        <f t="shared" si="5"/>
        <v>4.3157119621175433</v>
      </c>
      <c r="V58" s="21">
        <v>0.109</v>
      </c>
      <c r="W58" s="20">
        <f t="shared" si="6"/>
        <v>5.2380438311688318</v>
      </c>
      <c r="X58" s="20">
        <f t="shared" si="7"/>
        <v>31.74</v>
      </c>
      <c r="Y58" s="21">
        <f t="shared" si="8"/>
        <v>0.13970955151444742</v>
      </c>
      <c r="Z58" s="21">
        <f t="shared" si="9"/>
        <v>0.17719977083610475</v>
      </c>
      <c r="AA58" s="21">
        <f t="shared" si="10"/>
        <v>0.21364</v>
      </c>
      <c r="AB58" s="21">
        <f t="shared" si="11"/>
        <v>0.3473115508387653</v>
      </c>
    </row>
    <row r="59" spans="1:28" ht="16" customHeight="1" x14ac:dyDescent="0.2">
      <c r="A59" t="s">
        <v>28</v>
      </c>
      <c r="B59" t="s">
        <v>29</v>
      </c>
      <c r="C59" t="s">
        <v>155</v>
      </c>
      <c r="D59" t="s">
        <v>156</v>
      </c>
      <c r="E59" t="s">
        <v>32</v>
      </c>
      <c r="F59" t="s">
        <v>33</v>
      </c>
      <c r="G59" t="s">
        <v>34</v>
      </c>
      <c r="H59" s="15">
        <v>128</v>
      </c>
      <c r="I59" s="15">
        <f t="shared" si="15"/>
        <v>3.8927900303521317</v>
      </c>
      <c r="J59" s="17">
        <v>0.97099999999999997</v>
      </c>
      <c r="K59" s="17">
        <v>457000</v>
      </c>
      <c r="L59" s="11" t="s">
        <v>35</v>
      </c>
      <c r="M59" s="11" t="s">
        <v>35</v>
      </c>
      <c r="N59" s="14">
        <v>65</v>
      </c>
      <c r="O59" s="11">
        <v>249.6</v>
      </c>
      <c r="P59" s="13">
        <v>10.997</v>
      </c>
      <c r="Q59" s="11">
        <f t="shared" si="1"/>
        <v>137.46250000000001</v>
      </c>
      <c r="R59" s="20">
        <f t="shared" si="2"/>
        <v>55.073116987179496</v>
      </c>
      <c r="S59" s="20">
        <f t="shared" si="3"/>
        <v>0.55073116987179493</v>
      </c>
      <c r="T59" s="15">
        <f t="shared" si="4"/>
        <v>70.493589743589752</v>
      </c>
      <c r="U59" s="15">
        <f t="shared" si="5"/>
        <v>4.1518503733002312</v>
      </c>
      <c r="V59" s="21">
        <v>0.25700000000000001</v>
      </c>
      <c r="W59" s="20">
        <f t="shared" si="6"/>
        <v>4.7837973992907159</v>
      </c>
      <c r="X59" s="20">
        <f t="shared" si="7"/>
        <v>31.74</v>
      </c>
      <c r="Y59" s="21">
        <f t="shared" si="8"/>
        <v>0.13940192059885023</v>
      </c>
      <c r="Z59" s="21">
        <f t="shared" si="9"/>
        <v>0.29237287060643663</v>
      </c>
      <c r="AA59" s="21">
        <f t="shared" si="10"/>
        <v>0.50372000000000006</v>
      </c>
      <c r="AB59" s="21">
        <f t="shared" si="11"/>
        <v>0.57305082638861582</v>
      </c>
    </row>
    <row r="60" spans="1:28" ht="16" customHeight="1" x14ac:dyDescent="0.2">
      <c r="A60" t="s">
        <v>28</v>
      </c>
      <c r="B60" t="s">
        <v>29</v>
      </c>
      <c r="C60" t="s">
        <v>157</v>
      </c>
      <c r="D60" t="s">
        <v>158</v>
      </c>
      <c r="E60" t="s">
        <v>32</v>
      </c>
      <c r="F60" t="s">
        <v>33</v>
      </c>
      <c r="G60" t="s">
        <v>34</v>
      </c>
      <c r="H60" s="15">
        <v>88.4</v>
      </c>
      <c r="I60" s="15">
        <f t="shared" si="15"/>
        <v>4.0535477349869264</v>
      </c>
      <c r="J60" s="17">
        <v>0.94699999999999995</v>
      </c>
      <c r="K60" s="17">
        <v>497000</v>
      </c>
      <c r="L60" s="11" t="s">
        <v>35</v>
      </c>
      <c r="M60" s="11" t="s">
        <v>35</v>
      </c>
      <c r="N60" s="14">
        <v>65</v>
      </c>
      <c r="O60" s="11">
        <v>249.08</v>
      </c>
      <c r="P60" s="13">
        <v>8.7899999999999991</v>
      </c>
      <c r="Q60" s="11">
        <f t="shared" si="1"/>
        <v>109.87499999999999</v>
      </c>
      <c r="R60" s="20">
        <f t="shared" si="2"/>
        <v>44.112333386863654</v>
      </c>
      <c r="S60" s="20">
        <f t="shared" si="3"/>
        <v>0.44112333386863656</v>
      </c>
      <c r="T60" s="15">
        <f t="shared" si="4"/>
        <v>38.995302713987478</v>
      </c>
      <c r="U60" s="15">
        <f t="shared" si="5"/>
        <v>4.4089877039544607</v>
      </c>
      <c r="V60" s="21">
        <v>0.27100000000000002</v>
      </c>
      <c r="W60" s="20">
        <f t="shared" si="6"/>
        <v>5.7689874857792951</v>
      </c>
      <c r="X60" s="20">
        <f t="shared" si="7"/>
        <v>31.74</v>
      </c>
      <c r="Y60" s="21">
        <f t="shared" si="8"/>
        <v>0.14010348175401061</v>
      </c>
      <c r="Z60" s="21">
        <f t="shared" si="9"/>
        <v>0.30507373797099674</v>
      </c>
      <c r="AA60" s="21">
        <f t="shared" si="10"/>
        <v>0.53116000000000008</v>
      </c>
      <c r="AB60" s="21">
        <f t="shared" si="11"/>
        <v>0.59794452642315354</v>
      </c>
    </row>
    <row r="61" spans="1:28" ht="16" customHeight="1" x14ac:dyDescent="0.2">
      <c r="A61" t="s">
        <v>28</v>
      </c>
      <c r="B61" t="s">
        <v>29</v>
      </c>
      <c r="C61" t="s">
        <v>159</v>
      </c>
      <c r="D61" t="s">
        <v>160</v>
      </c>
      <c r="E61" t="s">
        <v>32</v>
      </c>
      <c r="F61" t="s">
        <v>38</v>
      </c>
      <c r="G61" t="s">
        <v>34</v>
      </c>
      <c r="H61" s="16" t="s">
        <v>67</v>
      </c>
      <c r="I61" s="16" t="s">
        <v>67</v>
      </c>
      <c r="J61" s="18" t="s">
        <v>67</v>
      </c>
      <c r="K61" s="18" t="s">
        <v>67</v>
      </c>
      <c r="L61" s="11" t="s">
        <v>35</v>
      </c>
      <c r="M61" s="11" t="s">
        <v>35</v>
      </c>
      <c r="N61" s="14">
        <v>65</v>
      </c>
      <c r="O61" s="11">
        <v>249.11</v>
      </c>
      <c r="P61" s="13">
        <v>10.432</v>
      </c>
      <c r="Q61" s="11">
        <f t="shared" si="1"/>
        <v>130.4</v>
      </c>
      <c r="R61" s="20">
        <f t="shared" si="2"/>
        <v>52.346353016739592</v>
      </c>
      <c r="S61" s="20">
        <f t="shared" si="3"/>
        <v>0.52346353016739589</v>
      </c>
      <c r="T61" s="15" t="str">
        <f t="shared" si="4"/>
        <v>no data</v>
      </c>
      <c r="U61" s="15" t="str">
        <f t="shared" si="5"/>
        <v>no data</v>
      </c>
      <c r="V61" s="22" t="s">
        <v>68</v>
      </c>
      <c r="W61" s="20">
        <f t="shared" si="6"/>
        <v>4.9963113496932516</v>
      </c>
      <c r="X61" s="20">
        <f t="shared" si="7"/>
        <v>31.74</v>
      </c>
      <c r="Y61" s="21">
        <f t="shared" si="8"/>
        <v>0.13954245483649935</v>
      </c>
      <c r="Z61" s="21" t="str">
        <f t="shared" si="9"/>
        <v>-</v>
      </c>
      <c r="AA61" s="21" t="str">
        <f t="shared" si="10"/>
        <v>-</v>
      </c>
      <c r="AB61" s="21" t="str">
        <f t="shared" si="11"/>
        <v>-</v>
      </c>
    </row>
    <row r="62" spans="1:28" ht="16" customHeight="1" x14ac:dyDescent="0.2">
      <c r="A62" t="s">
        <v>28</v>
      </c>
      <c r="B62" t="s">
        <v>29</v>
      </c>
      <c r="C62" t="s">
        <v>161</v>
      </c>
      <c r="D62" t="s">
        <v>162</v>
      </c>
      <c r="E62" t="s">
        <v>32</v>
      </c>
      <c r="F62" t="s">
        <v>38</v>
      </c>
      <c r="G62" t="s">
        <v>34</v>
      </c>
      <c r="H62" s="15">
        <v>527</v>
      </c>
      <c r="I62" s="15">
        <f t="shared" ref="I62:I73" si="16">IF(H62=0, 0, -LOG10(H62*10^-6))</f>
        <v>3.2781893847874533</v>
      </c>
      <c r="J62" s="17">
        <v>0.46800000000000003</v>
      </c>
      <c r="K62" s="17">
        <v>298000</v>
      </c>
      <c r="L62" s="11" t="s">
        <v>35</v>
      </c>
      <c r="M62" s="11" t="s">
        <v>35</v>
      </c>
      <c r="N62" s="14">
        <v>65</v>
      </c>
      <c r="O62" s="11">
        <v>249.51</v>
      </c>
      <c r="P62" s="13">
        <v>9.452</v>
      </c>
      <c r="Q62" s="11">
        <f t="shared" si="1"/>
        <v>118.15</v>
      </c>
      <c r="R62" s="20">
        <f t="shared" si="2"/>
        <v>47.352811510560706</v>
      </c>
      <c r="S62" s="20">
        <f t="shared" si="3"/>
        <v>0.47352811510560705</v>
      </c>
      <c r="T62" s="15">
        <f t="shared" si="4"/>
        <v>249.54931666065491</v>
      </c>
      <c r="U62" s="15">
        <f t="shared" si="5"/>
        <v>3.602843615022115</v>
      </c>
      <c r="V62" s="21">
        <v>1.9199999999999998E-2</v>
      </c>
      <c r="W62" s="20">
        <f t="shared" si="6"/>
        <v>5.4251713922979263</v>
      </c>
      <c r="X62" s="20">
        <f t="shared" si="7"/>
        <v>31.74</v>
      </c>
      <c r="Y62" s="21">
        <f t="shared" si="8"/>
        <v>0.13984417761450252</v>
      </c>
      <c r="Z62" s="21">
        <f t="shared" si="9"/>
        <v>0.14115606261396119</v>
      </c>
      <c r="AA62" s="21">
        <f t="shared" si="10"/>
        <v>3.7631999999999999E-2</v>
      </c>
      <c r="AB62" s="21">
        <f t="shared" si="11"/>
        <v>0.2766658827233639</v>
      </c>
    </row>
    <row r="63" spans="1:28" ht="16" customHeight="1" x14ac:dyDescent="0.2">
      <c r="A63" t="s">
        <v>28</v>
      </c>
      <c r="B63" t="s">
        <v>29</v>
      </c>
      <c r="C63" t="s">
        <v>163</v>
      </c>
      <c r="D63" t="s">
        <v>164</v>
      </c>
      <c r="E63" t="s">
        <v>32</v>
      </c>
      <c r="F63" t="s">
        <v>33</v>
      </c>
      <c r="G63" t="s">
        <v>34</v>
      </c>
      <c r="H63" s="15">
        <v>6.27</v>
      </c>
      <c r="I63" s="15">
        <f t="shared" si="16"/>
        <v>5.2027324591692832</v>
      </c>
      <c r="J63" s="17">
        <v>0.59299999999999997</v>
      </c>
      <c r="K63" s="17">
        <v>313000</v>
      </c>
      <c r="L63" s="11" t="s">
        <v>35</v>
      </c>
      <c r="M63" s="11" t="s">
        <v>35</v>
      </c>
      <c r="N63" s="14">
        <v>65</v>
      </c>
      <c r="O63" s="11">
        <v>249.93</v>
      </c>
      <c r="P63" s="13">
        <v>10.717000000000001</v>
      </c>
      <c r="Q63" s="11">
        <f t="shared" si="1"/>
        <v>133.96250000000001</v>
      </c>
      <c r="R63" s="20">
        <f t="shared" si="2"/>
        <v>53.600008002240628</v>
      </c>
      <c r="S63" s="20">
        <f t="shared" si="3"/>
        <v>0.53600008002240629</v>
      </c>
      <c r="T63" s="15">
        <f t="shared" si="4"/>
        <v>3.3607205017404871</v>
      </c>
      <c r="U63" s="15">
        <f t="shared" si="5"/>
        <v>5.4735676046382915</v>
      </c>
      <c r="V63" s="21">
        <v>7.5800000000000006E-2</v>
      </c>
      <c r="W63" s="20">
        <f t="shared" si="6"/>
        <v>4.8863133339553979</v>
      </c>
      <c r="X63" s="20">
        <f t="shared" si="7"/>
        <v>31.74</v>
      </c>
      <c r="Y63" s="21">
        <f t="shared" si="8"/>
        <v>0.13946896897489799</v>
      </c>
      <c r="Z63" s="21">
        <f t="shared" si="9"/>
        <v>0.15873636416058248</v>
      </c>
      <c r="AA63" s="21">
        <f t="shared" si="10"/>
        <v>0.14856800000000001</v>
      </c>
      <c r="AB63" s="21">
        <f t="shared" si="11"/>
        <v>0.31112327375474164</v>
      </c>
    </row>
    <row r="64" spans="1:28" ht="16" customHeight="1" x14ac:dyDescent="0.2">
      <c r="A64" t="s">
        <v>28</v>
      </c>
      <c r="B64" t="s">
        <v>29</v>
      </c>
      <c r="C64" t="s">
        <v>165</v>
      </c>
      <c r="D64" t="s">
        <v>166</v>
      </c>
      <c r="E64" t="s">
        <v>32</v>
      </c>
      <c r="F64" t="s">
        <v>38</v>
      </c>
      <c r="G64" t="s">
        <v>34</v>
      </c>
      <c r="H64" s="15">
        <v>17400</v>
      </c>
      <c r="I64" s="15">
        <f t="shared" si="16"/>
        <v>1.7594507517174003</v>
      </c>
      <c r="J64" s="17">
        <v>1.1299999999999999</v>
      </c>
      <c r="K64" s="17">
        <v>582000</v>
      </c>
      <c r="L64" s="11" t="s">
        <v>35</v>
      </c>
      <c r="M64" s="11" t="s">
        <v>35</v>
      </c>
      <c r="N64" s="14">
        <v>65</v>
      </c>
      <c r="O64" s="11">
        <v>249.22</v>
      </c>
      <c r="P64" s="13">
        <v>14.036</v>
      </c>
      <c r="Q64" s="11">
        <f t="shared" si="1"/>
        <v>175.45</v>
      </c>
      <c r="R64" s="20">
        <f t="shared" si="2"/>
        <v>70.399646898322771</v>
      </c>
      <c r="S64" s="20">
        <f t="shared" si="3"/>
        <v>0.70399646898322776</v>
      </c>
      <c r="T64" s="15">
        <f t="shared" si="4"/>
        <v>12249.538560308163</v>
      </c>
      <c r="U64" s="15">
        <f t="shared" si="5"/>
        <v>1.9118802708493583</v>
      </c>
      <c r="V64" s="21">
        <v>0.53700000000000003</v>
      </c>
      <c r="W64" s="20">
        <f t="shared" si="6"/>
        <v>3.934237674551154</v>
      </c>
      <c r="X64" s="20">
        <f t="shared" si="7"/>
        <v>31.74</v>
      </c>
      <c r="Y64" s="21">
        <f t="shared" si="8"/>
        <v>0.13889996534916366</v>
      </c>
      <c r="Z64" s="21">
        <f t="shared" si="9"/>
        <v>0.55467305719135018</v>
      </c>
      <c r="AA64" s="21">
        <f t="shared" si="10"/>
        <v>1.0525200000000001</v>
      </c>
      <c r="AB64" s="21">
        <f t="shared" si="11"/>
        <v>1.0871591920950463</v>
      </c>
    </row>
    <row r="65" spans="1:28" ht="16" customHeight="1" x14ac:dyDescent="0.2">
      <c r="A65" t="s">
        <v>28</v>
      </c>
      <c r="B65" t="s">
        <v>29</v>
      </c>
      <c r="C65" t="s">
        <v>167</v>
      </c>
      <c r="D65" t="s">
        <v>168</v>
      </c>
      <c r="E65" t="s">
        <v>32</v>
      </c>
      <c r="F65" t="s">
        <v>38</v>
      </c>
      <c r="G65" t="s">
        <v>34</v>
      </c>
      <c r="H65" s="15">
        <v>17400</v>
      </c>
      <c r="I65" s="15">
        <f t="shared" si="16"/>
        <v>1.7594507517174003</v>
      </c>
      <c r="J65" s="17">
        <v>1.25</v>
      </c>
      <c r="K65" s="17">
        <v>623000</v>
      </c>
      <c r="L65" s="11" t="s">
        <v>35</v>
      </c>
      <c r="M65" s="11" t="s">
        <v>35</v>
      </c>
      <c r="N65" s="14">
        <v>65</v>
      </c>
      <c r="O65" s="11">
        <v>250.21</v>
      </c>
      <c r="P65" s="13">
        <v>14.349</v>
      </c>
      <c r="Q65" s="11">
        <f t="shared" si="1"/>
        <v>179.36250000000001</v>
      </c>
      <c r="R65" s="20">
        <f t="shared" si="2"/>
        <v>71.684784780784142</v>
      </c>
      <c r="S65" s="20">
        <f t="shared" si="3"/>
        <v>0.71684784780784139</v>
      </c>
      <c r="T65" s="15">
        <f t="shared" si="4"/>
        <v>12473.152551856439</v>
      </c>
      <c r="U65" s="15">
        <f t="shared" si="5"/>
        <v>1.9040237660212092</v>
      </c>
      <c r="V65" s="21">
        <v>0.53600000000000003</v>
      </c>
      <c r="W65" s="20">
        <f t="shared" si="6"/>
        <v>3.8671782005714683</v>
      </c>
      <c r="X65" s="20">
        <f t="shared" si="7"/>
        <v>31.74</v>
      </c>
      <c r="Y65" s="21">
        <f t="shared" si="8"/>
        <v>0.13886444104321621</v>
      </c>
      <c r="Z65" s="21">
        <f t="shared" si="9"/>
        <v>0.55369606553256712</v>
      </c>
      <c r="AA65" s="21">
        <f t="shared" si="10"/>
        <v>1.0505599999999999</v>
      </c>
      <c r="AB65" s="21">
        <f t="shared" si="11"/>
        <v>1.0852442884438316</v>
      </c>
    </row>
    <row r="66" spans="1:28" ht="16" customHeight="1" x14ac:dyDescent="0.2">
      <c r="A66" t="s">
        <v>28</v>
      </c>
      <c r="B66" t="s">
        <v>29</v>
      </c>
      <c r="C66" t="s">
        <v>169</v>
      </c>
      <c r="D66" t="s">
        <v>170</v>
      </c>
      <c r="E66" t="s">
        <v>32</v>
      </c>
      <c r="F66" t="s">
        <v>33</v>
      </c>
      <c r="G66" t="s">
        <v>34</v>
      </c>
      <c r="H66" s="15">
        <v>115</v>
      </c>
      <c r="I66" s="15">
        <f t="shared" si="16"/>
        <v>3.9393021596463882</v>
      </c>
      <c r="J66" s="17">
        <v>1.1499999999999999</v>
      </c>
      <c r="K66" s="17">
        <v>522000</v>
      </c>
      <c r="L66" s="11" t="s">
        <v>35</v>
      </c>
      <c r="M66" s="11" t="s">
        <v>35</v>
      </c>
      <c r="N66" s="14">
        <v>65</v>
      </c>
      <c r="O66" s="11">
        <v>249.87</v>
      </c>
      <c r="P66" s="13">
        <v>2.0609999999999999</v>
      </c>
      <c r="Q66" s="11">
        <f t="shared" ref="Q66:Q129" si="17">IF(ISNUMBER(P66),12.5*P66,"-")</f>
        <v>25.762499999999999</v>
      </c>
      <c r="R66" s="20">
        <f t="shared" ref="R66:R129" si="18">IF(OR(Q66="-",O66="",O66=0),"-",Q66/O66*100)</f>
        <v>10.310361387921718</v>
      </c>
      <c r="S66" s="20">
        <f t="shared" ref="S66:S129" si="19">IF(R66="-","-",R66/100)</f>
        <v>0.10310361387921718</v>
      </c>
      <c r="T66" s="15">
        <f t="shared" ref="T66:T129" si="20">IF(H66="no data","no data",IF(OR(H66="",S66="-",S66=""),"-",H66*S66))</f>
        <v>11.856915596109976</v>
      </c>
      <c r="U66" s="15">
        <f t="shared" ref="U66:U129" si="21">IF(T66="no data","no data",IF(T66="-","-",IF(T66="","",IF(T66=0,0,-LOG10(T66*10^-6)))))</f>
        <v>4.9260282716635899</v>
      </c>
      <c r="V66" s="21">
        <v>0.32600000000000001</v>
      </c>
      <c r="W66" s="20">
        <f t="shared" ref="W66:W129" si="22">IF(OR(NOT(ISNUMBER(P66)),P66=0),"-",43.15/P66+0.86)</f>
        <v>21.796438622028141</v>
      </c>
      <c r="X66" s="20">
        <f t="shared" ref="X66:X129" si="23">IF(W66="-","-",31.74)</f>
        <v>31.74</v>
      </c>
      <c r="Y66" s="21">
        <f t="shared" ref="Y66:Y129" si="24">IF(OR(W66="-",X66="-"),"-",SQRT((W66/100)^2+(X66/100)^2)/LN(10))</f>
        <v>0.16721817115597909</v>
      </c>
      <c r="Z66" s="21">
        <f t="shared" ref="Z66:Z129" si="25">IF(OR(V66="-",Y66="-",U66="no data",U66="",U66="-"),"-",SQRT(V66^2+Y66^2))</f>
        <v>0.36638492977297843</v>
      </c>
      <c r="AA66" s="21">
        <f t="shared" ref="AA66:AA129" si="26">IF(V66="-","-",V66*1.96)</f>
        <v>0.63895999999999997</v>
      </c>
      <c r="AB66" s="21">
        <f t="shared" ref="AB66:AB129" si="27">IF(Z66="-","-",Z66*1.96)</f>
        <v>0.71811446235503773</v>
      </c>
    </row>
    <row r="67" spans="1:28" ht="16" customHeight="1" x14ac:dyDescent="0.2">
      <c r="A67" t="s">
        <v>28</v>
      </c>
      <c r="B67" t="s">
        <v>29</v>
      </c>
      <c r="C67" t="s">
        <v>171</v>
      </c>
      <c r="D67" t="s">
        <v>172</v>
      </c>
      <c r="E67" t="s">
        <v>32</v>
      </c>
      <c r="F67" t="s">
        <v>33</v>
      </c>
      <c r="G67" t="s">
        <v>34</v>
      </c>
      <c r="H67" s="15">
        <v>9.66</v>
      </c>
      <c r="I67" s="15">
        <f t="shared" si="16"/>
        <v>5.015022873584507</v>
      </c>
      <c r="J67" s="17">
        <v>0.51800000000000002</v>
      </c>
      <c r="K67" s="17">
        <v>285000</v>
      </c>
      <c r="L67" s="11" t="s">
        <v>35</v>
      </c>
      <c r="M67" s="11" t="s">
        <v>35</v>
      </c>
      <c r="N67" s="14">
        <v>65</v>
      </c>
      <c r="O67" s="11">
        <v>250.95</v>
      </c>
      <c r="P67" s="13">
        <v>6.3970000000000002</v>
      </c>
      <c r="Q67" s="11">
        <f t="shared" si="17"/>
        <v>79.962500000000006</v>
      </c>
      <c r="R67" s="20">
        <f t="shared" si="18"/>
        <v>31.86391711496314</v>
      </c>
      <c r="S67" s="20">
        <f t="shared" si="19"/>
        <v>0.31863917114963142</v>
      </c>
      <c r="T67" s="15">
        <f t="shared" si="20"/>
        <v>3.0780543933054396</v>
      </c>
      <c r="U67" s="15">
        <f t="shared" si="21"/>
        <v>5.5117237098769634</v>
      </c>
      <c r="V67" s="21">
        <v>0.109</v>
      </c>
      <c r="W67" s="20">
        <f t="shared" si="22"/>
        <v>7.6053493825230571</v>
      </c>
      <c r="X67" s="20">
        <f t="shared" si="23"/>
        <v>31.74</v>
      </c>
      <c r="Y67" s="21">
        <f t="shared" si="24"/>
        <v>0.1417470219799972</v>
      </c>
      <c r="Z67" s="21">
        <f t="shared" si="25"/>
        <v>0.17881056523650329</v>
      </c>
      <c r="AA67" s="21">
        <f t="shared" si="26"/>
        <v>0.21364</v>
      </c>
      <c r="AB67" s="21">
        <f t="shared" si="27"/>
        <v>0.35046870786354645</v>
      </c>
    </row>
    <row r="68" spans="1:28" ht="16" customHeight="1" x14ac:dyDescent="0.2">
      <c r="A68" t="s">
        <v>28</v>
      </c>
      <c r="B68" t="s">
        <v>29</v>
      </c>
      <c r="C68" t="s">
        <v>173</v>
      </c>
      <c r="D68" t="s">
        <v>174</v>
      </c>
      <c r="E68" t="s">
        <v>32</v>
      </c>
      <c r="F68" t="s">
        <v>38</v>
      </c>
      <c r="G68" t="s">
        <v>34</v>
      </c>
      <c r="H68" s="15">
        <v>18000</v>
      </c>
      <c r="I68" s="15">
        <f t="shared" si="16"/>
        <v>1.744727494896694</v>
      </c>
      <c r="J68" s="17">
        <v>1.26</v>
      </c>
      <c r="K68" s="17">
        <v>626000</v>
      </c>
      <c r="L68" s="11" t="s">
        <v>35</v>
      </c>
      <c r="M68" s="11" t="s">
        <v>35</v>
      </c>
      <c r="N68" s="14">
        <v>65</v>
      </c>
      <c r="O68" s="11">
        <v>249.56</v>
      </c>
      <c r="P68" s="13">
        <v>9.9109999999999996</v>
      </c>
      <c r="Q68" s="11">
        <f t="shared" si="17"/>
        <v>123.88749999999999</v>
      </c>
      <c r="R68" s="20">
        <f t="shared" si="18"/>
        <v>49.642370572207078</v>
      </c>
      <c r="S68" s="20">
        <f t="shared" si="19"/>
        <v>0.49642370572207078</v>
      </c>
      <c r="T68" s="15">
        <f t="shared" si="20"/>
        <v>8935.6267029972732</v>
      </c>
      <c r="U68" s="15">
        <f t="shared" si="21"/>
        <v>2.0488749827096751</v>
      </c>
      <c r="V68" s="21">
        <v>0.53700000000000003</v>
      </c>
      <c r="W68" s="20">
        <f t="shared" si="22"/>
        <v>5.213748360407628</v>
      </c>
      <c r="X68" s="20">
        <f t="shared" si="23"/>
        <v>31.74</v>
      </c>
      <c r="Y68" s="21">
        <f t="shared" si="24"/>
        <v>0.13969240976049402</v>
      </c>
      <c r="Z68" s="21">
        <f t="shared" si="25"/>
        <v>0.554872029701168</v>
      </c>
      <c r="AA68" s="21">
        <f t="shared" si="26"/>
        <v>1.0525200000000001</v>
      </c>
      <c r="AB68" s="21">
        <f t="shared" si="27"/>
        <v>1.0875491782142892</v>
      </c>
    </row>
    <row r="69" spans="1:28" ht="16" customHeight="1" x14ac:dyDescent="0.2">
      <c r="A69" t="s">
        <v>28</v>
      </c>
      <c r="B69" t="s">
        <v>29</v>
      </c>
      <c r="C69" t="s">
        <v>175</v>
      </c>
      <c r="D69" t="s">
        <v>176</v>
      </c>
      <c r="E69" t="s">
        <v>32</v>
      </c>
      <c r="F69" t="s">
        <v>33</v>
      </c>
      <c r="G69" t="s">
        <v>34</v>
      </c>
      <c r="H69" s="15">
        <v>2.21</v>
      </c>
      <c r="I69" s="15">
        <f t="shared" si="16"/>
        <v>5.655607726314889</v>
      </c>
      <c r="J69" s="17">
        <v>0.50600000000000001</v>
      </c>
      <c r="K69" s="17">
        <v>280000</v>
      </c>
      <c r="L69" s="11" t="s">
        <v>35</v>
      </c>
      <c r="M69" s="11" t="s">
        <v>35</v>
      </c>
      <c r="N69" s="14">
        <v>65</v>
      </c>
      <c r="O69" s="11">
        <v>250.39</v>
      </c>
      <c r="P69" s="13">
        <v>4.9909999999999997</v>
      </c>
      <c r="Q69" s="11">
        <f t="shared" si="17"/>
        <v>62.387499999999996</v>
      </c>
      <c r="R69" s="20">
        <f t="shared" si="18"/>
        <v>24.916130835896002</v>
      </c>
      <c r="S69" s="20">
        <f t="shared" si="19"/>
        <v>0.24916130835896003</v>
      </c>
      <c r="T69" s="15">
        <f t="shared" si="20"/>
        <v>0.55064649147330169</v>
      </c>
      <c r="U69" s="15">
        <f t="shared" si="21"/>
        <v>6.2591271236039372</v>
      </c>
      <c r="V69" s="21">
        <v>5.0999999999999997E-2</v>
      </c>
      <c r="W69" s="20">
        <f t="shared" si="22"/>
        <v>9.505562011620917</v>
      </c>
      <c r="X69" s="20">
        <f t="shared" si="23"/>
        <v>31.74</v>
      </c>
      <c r="Y69" s="21">
        <f t="shared" si="24"/>
        <v>0.14389397933585812</v>
      </c>
      <c r="Z69" s="21">
        <f t="shared" si="25"/>
        <v>0.15266459081630018</v>
      </c>
      <c r="AA69" s="21">
        <f t="shared" si="26"/>
        <v>9.9959999999999993E-2</v>
      </c>
      <c r="AB69" s="21">
        <f t="shared" si="27"/>
        <v>0.29922259799994838</v>
      </c>
    </row>
    <row r="70" spans="1:28" ht="16" customHeight="1" x14ac:dyDescent="0.2">
      <c r="A70" t="s">
        <v>28</v>
      </c>
      <c r="B70" t="s">
        <v>29</v>
      </c>
      <c r="C70" t="s">
        <v>177</v>
      </c>
      <c r="D70" t="s">
        <v>178</v>
      </c>
      <c r="E70" t="s">
        <v>32</v>
      </c>
      <c r="F70" t="s">
        <v>33</v>
      </c>
      <c r="G70" t="s">
        <v>34</v>
      </c>
      <c r="H70" s="15">
        <v>341</v>
      </c>
      <c r="I70" s="15">
        <f t="shared" si="16"/>
        <v>3.4672456210075024</v>
      </c>
      <c r="J70" s="17">
        <v>1.1499999999999999</v>
      </c>
      <c r="K70" s="17">
        <v>590000</v>
      </c>
      <c r="L70" s="11" t="s">
        <v>35</v>
      </c>
      <c r="M70" s="11" t="s">
        <v>35</v>
      </c>
      <c r="N70" s="14">
        <v>65</v>
      </c>
      <c r="O70" s="11">
        <v>249.16</v>
      </c>
      <c r="P70" s="13">
        <v>17.693999999999999</v>
      </c>
      <c r="Q70" s="11">
        <f t="shared" si="17"/>
        <v>221.17499999999998</v>
      </c>
      <c r="R70" s="20">
        <f t="shared" si="18"/>
        <v>88.768261358163429</v>
      </c>
      <c r="S70" s="20">
        <f t="shared" si="19"/>
        <v>0.88768261358163425</v>
      </c>
      <c r="T70" s="15">
        <f t="shared" si="20"/>
        <v>302.69977123133725</v>
      </c>
      <c r="U70" s="15">
        <f t="shared" si="21"/>
        <v>3.5189879072661077</v>
      </c>
      <c r="V70" s="21">
        <v>0.26800000000000002</v>
      </c>
      <c r="W70" s="20">
        <f t="shared" si="22"/>
        <v>3.2986797784559738</v>
      </c>
      <c r="X70" s="20">
        <f t="shared" si="23"/>
        <v>31.74</v>
      </c>
      <c r="Y70" s="21">
        <f t="shared" si="24"/>
        <v>0.13858750575021203</v>
      </c>
      <c r="Z70" s="21">
        <f t="shared" si="25"/>
        <v>0.30171260621668605</v>
      </c>
      <c r="AA70" s="21">
        <f t="shared" si="26"/>
        <v>0.52527999999999997</v>
      </c>
      <c r="AB70" s="21">
        <f t="shared" si="27"/>
        <v>0.59135670818470465</v>
      </c>
    </row>
    <row r="71" spans="1:28" ht="16" customHeight="1" x14ac:dyDescent="0.2">
      <c r="A71" t="s">
        <v>28</v>
      </c>
      <c r="B71" t="s">
        <v>29</v>
      </c>
      <c r="C71" t="s">
        <v>179</v>
      </c>
      <c r="D71" t="s">
        <v>180</v>
      </c>
      <c r="E71" t="s">
        <v>32</v>
      </c>
      <c r="F71" t="s">
        <v>38</v>
      </c>
      <c r="G71" t="s">
        <v>34</v>
      </c>
      <c r="H71" s="15">
        <v>18100</v>
      </c>
      <c r="I71" s="15">
        <f t="shared" si="16"/>
        <v>1.7423214251308154</v>
      </c>
      <c r="J71" s="17">
        <v>1.24</v>
      </c>
      <c r="K71" s="17">
        <v>619000</v>
      </c>
      <c r="L71" s="11" t="s">
        <v>35</v>
      </c>
      <c r="M71" s="11" t="s">
        <v>35</v>
      </c>
      <c r="N71" s="14">
        <v>65</v>
      </c>
      <c r="O71" s="11">
        <v>248.83</v>
      </c>
      <c r="P71" s="13">
        <v>7.165</v>
      </c>
      <c r="Q71" s="11">
        <f t="shared" si="17"/>
        <v>89.5625</v>
      </c>
      <c r="R71" s="20">
        <f t="shared" si="18"/>
        <v>35.99344934292489</v>
      </c>
      <c r="S71" s="20">
        <f t="shared" si="19"/>
        <v>0.35993449342924888</v>
      </c>
      <c r="T71" s="15">
        <f t="shared" si="20"/>
        <v>6514.8143310694049</v>
      </c>
      <c r="U71" s="15">
        <f t="shared" si="21"/>
        <v>2.1860979569492534</v>
      </c>
      <c r="V71" s="21">
        <v>0.53600000000000003</v>
      </c>
      <c r="W71" s="20">
        <f t="shared" si="22"/>
        <v>6.8823307745987439</v>
      </c>
      <c r="X71" s="20">
        <f t="shared" si="23"/>
        <v>31.74</v>
      </c>
      <c r="Y71" s="21">
        <f t="shared" si="24"/>
        <v>0.14104839624760293</v>
      </c>
      <c r="Z71" s="21">
        <f t="shared" si="25"/>
        <v>0.55424782370706771</v>
      </c>
      <c r="AA71" s="21">
        <f t="shared" si="26"/>
        <v>1.0505599999999999</v>
      </c>
      <c r="AB71" s="21">
        <f t="shared" si="27"/>
        <v>1.0863257344658528</v>
      </c>
    </row>
    <row r="72" spans="1:28" ht="16" customHeight="1" x14ac:dyDescent="0.2">
      <c r="A72" t="s">
        <v>28</v>
      </c>
      <c r="B72" t="s">
        <v>29</v>
      </c>
      <c r="C72" t="s">
        <v>181</v>
      </c>
      <c r="D72" t="s">
        <v>182</v>
      </c>
      <c r="E72" t="s">
        <v>32</v>
      </c>
      <c r="F72" t="s">
        <v>33</v>
      </c>
      <c r="G72" t="s">
        <v>34</v>
      </c>
      <c r="H72" s="15">
        <v>23.2</v>
      </c>
      <c r="I72" s="15">
        <f t="shared" si="16"/>
        <v>4.6345120151091006</v>
      </c>
      <c r="J72" s="17">
        <v>0.97899999999999998</v>
      </c>
      <c r="K72" s="17">
        <v>510000</v>
      </c>
      <c r="L72" s="11" t="s">
        <v>35</v>
      </c>
      <c r="M72" s="11" t="s">
        <v>35</v>
      </c>
      <c r="N72" s="14">
        <v>65</v>
      </c>
      <c r="O72" s="11">
        <v>249.04</v>
      </c>
      <c r="P72" s="13">
        <v>16.373000000000001</v>
      </c>
      <c r="Q72" s="11">
        <f t="shared" si="17"/>
        <v>204.66250000000002</v>
      </c>
      <c r="R72" s="20">
        <f t="shared" si="18"/>
        <v>82.180573401863171</v>
      </c>
      <c r="S72" s="20">
        <f t="shared" si="19"/>
        <v>0.82180573401863166</v>
      </c>
      <c r="T72" s="15">
        <f t="shared" si="20"/>
        <v>19.065893029232253</v>
      </c>
      <c r="U72" s="15">
        <f t="shared" si="21"/>
        <v>4.7197428479520926</v>
      </c>
      <c r="V72" s="21">
        <v>0.26500000000000001</v>
      </c>
      <c r="W72" s="20">
        <f t="shared" si="22"/>
        <v>3.4954363891773039</v>
      </c>
      <c r="X72" s="20">
        <f t="shared" si="23"/>
        <v>31.74</v>
      </c>
      <c r="Y72" s="21">
        <f t="shared" si="24"/>
        <v>0.13867844144501587</v>
      </c>
      <c r="Z72" s="21">
        <f t="shared" si="25"/>
        <v>0.29909314622976352</v>
      </c>
      <c r="AA72" s="21">
        <f t="shared" si="26"/>
        <v>0.51939999999999997</v>
      </c>
      <c r="AB72" s="21">
        <f t="shared" si="27"/>
        <v>0.58622256661033645</v>
      </c>
    </row>
    <row r="73" spans="1:28" ht="16" customHeight="1" x14ac:dyDescent="0.2">
      <c r="A73" t="s">
        <v>28</v>
      </c>
      <c r="B73" t="s">
        <v>29</v>
      </c>
      <c r="C73" t="s">
        <v>183</v>
      </c>
      <c r="D73" t="s">
        <v>184</v>
      </c>
      <c r="E73" t="s">
        <v>32</v>
      </c>
      <c r="F73" t="s">
        <v>33</v>
      </c>
      <c r="G73" t="s">
        <v>34</v>
      </c>
      <c r="H73" s="15">
        <v>45.6</v>
      </c>
      <c r="I73" s="15">
        <f t="shared" si="16"/>
        <v>4.3410351573355648</v>
      </c>
      <c r="J73" s="17">
        <v>0.79</v>
      </c>
      <c r="K73" s="17">
        <v>388000</v>
      </c>
      <c r="L73" s="11" t="s">
        <v>35</v>
      </c>
      <c r="M73" s="11" t="s">
        <v>35</v>
      </c>
      <c r="N73" s="14">
        <v>65</v>
      </c>
      <c r="O73" s="11">
        <v>250.64</v>
      </c>
      <c r="P73" s="13">
        <v>10.576000000000001</v>
      </c>
      <c r="Q73" s="11">
        <f t="shared" si="17"/>
        <v>132.20000000000002</v>
      </c>
      <c r="R73" s="20">
        <f t="shared" si="18"/>
        <v>52.744972869454209</v>
      </c>
      <c r="S73" s="20">
        <f t="shared" si="19"/>
        <v>0.5274497286945421</v>
      </c>
      <c r="T73" s="15">
        <f t="shared" si="20"/>
        <v>24.051707628471121</v>
      </c>
      <c r="U73" s="15">
        <f t="shared" si="21"/>
        <v>4.618854084059592</v>
      </c>
      <c r="V73" s="21">
        <v>0.20300000000000001</v>
      </c>
      <c r="W73" s="20">
        <f t="shared" si="22"/>
        <v>4.9399924357034797</v>
      </c>
      <c r="X73" s="20">
        <f t="shared" si="23"/>
        <v>31.74</v>
      </c>
      <c r="Y73" s="21">
        <f t="shared" si="24"/>
        <v>0.13950463059181889</v>
      </c>
      <c r="Z73" s="21">
        <f t="shared" si="25"/>
        <v>0.24631390938507686</v>
      </c>
      <c r="AA73" s="21">
        <f t="shared" si="26"/>
        <v>0.39788000000000001</v>
      </c>
      <c r="AB73" s="21">
        <f t="shared" si="27"/>
        <v>0.4827752623947506</v>
      </c>
    </row>
    <row r="74" spans="1:28" ht="16" customHeight="1" x14ac:dyDescent="0.2">
      <c r="A74" t="s">
        <v>28</v>
      </c>
      <c r="B74" t="s">
        <v>29</v>
      </c>
      <c r="C74" t="s">
        <v>185</v>
      </c>
      <c r="D74" t="s">
        <v>186</v>
      </c>
      <c r="E74" t="s">
        <v>32</v>
      </c>
      <c r="F74" t="s">
        <v>38</v>
      </c>
      <c r="G74" t="s">
        <v>34</v>
      </c>
      <c r="H74" s="16" t="s">
        <v>67</v>
      </c>
      <c r="I74" s="16" t="s">
        <v>67</v>
      </c>
      <c r="J74" s="18" t="s">
        <v>67</v>
      </c>
      <c r="K74" s="18" t="s">
        <v>67</v>
      </c>
      <c r="L74" s="11" t="s">
        <v>35</v>
      </c>
      <c r="M74" s="11" t="s">
        <v>35</v>
      </c>
      <c r="N74" s="14">
        <v>65</v>
      </c>
      <c r="O74" s="11">
        <v>249.99</v>
      </c>
      <c r="P74" s="13">
        <v>8.5950000000000006</v>
      </c>
      <c r="Q74" s="11">
        <f t="shared" si="17"/>
        <v>107.43750000000001</v>
      </c>
      <c r="R74" s="20">
        <f t="shared" si="18"/>
        <v>42.976719068762755</v>
      </c>
      <c r="S74" s="20">
        <f t="shared" si="19"/>
        <v>0.42976719068762753</v>
      </c>
      <c r="T74" s="15" t="str">
        <f t="shared" si="20"/>
        <v>no data</v>
      </c>
      <c r="U74" s="15" t="str">
        <f t="shared" si="21"/>
        <v>no data</v>
      </c>
      <c r="V74" s="22" t="s">
        <v>68</v>
      </c>
      <c r="W74" s="20">
        <f t="shared" si="22"/>
        <v>5.8803606748109365</v>
      </c>
      <c r="X74" s="20">
        <f t="shared" si="23"/>
        <v>31.74</v>
      </c>
      <c r="Y74" s="21">
        <f t="shared" si="24"/>
        <v>0.14019078626546475</v>
      </c>
      <c r="Z74" s="21" t="str">
        <f t="shared" si="25"/>
        <v>-</v>
      </c>
      <c r="AA74" s="21" t="str">
        <f t="shared" si="26"/>
        <v>-</v>
      </c>
      <c r="AB74" s="21" t="str">
        <f t="shared" si="27"/>
        <v>-</v>
      </c>
    </row>
    <row r="75" spans="1:28" ht="16" customHeight="1" x14ac:dyDescent="0.2">
      <c r="A75" t="s">
        <v>28</v>
      </c>
      <c r="B75" t="s">
        <v>29</v>
      </c>
      <c r="C75" t="s">
        <v>187</v>
      </c>
      <c r="D75" t="s">
        <v>188</v>
      </c>
      <c r="E75" t="s">
        <v>32</v>
      </c>
      <c r="F75" t="s">
        <v>33</v>
      </c>
      <c r="G75" t="s">
        <v>34</v>
      </c>
      <c r="H75" s="15">
        <v>11.2</v>
      </c>
      <c r="I75" s="15">
        <f>IF(H75=0, 0, -LOG10(H75*10^-6))</f>
        <v>4.9507819773298181</v>
      </c>
      <c r="J75" s="17">
        <v>0.72699999999999998</v>
      </c>
      <c r="K75" s="17">
        <v>406000</v>
      </c>
      <c r="L75" s="11" t="s">
        <v>35</v>
      </c>
      <c r="M75" s="11" t="s">
        <v>35</v>
      </c>
      <c r="N75" s="14">
        <v>65</v>
      </c>
      <c r="O75" s="11">
        <v>249.33</v>
      </c>
      <c r="P75" s="13">
        <v>17.981000000000002</v>
      </c>
      <c r="Q75" s="11">
        <f t="shared" si="17"/>
        <v>224.76250000000002</v>
      </c>
      <c r="R75" s="20">
        <f t="shared" si="18"/>
        <v>90.146592868888618</v>
      </c>
      <c r="S75" s="20">
        <f t="shared" si="19"/>
        <v>0.9014659286888862</v>
      </c>
      <c r="T75" s="15">
        <f t="shared" si="20"/>
        <v>10.096418401315525</v>
      </c>
      <c r="U75" s="15">
        <f t="shared" si="21"/>
        <v>4.995832660316915</v>
      </c>
      <c r="V75" s="21">
        <v>0.246</v>
      </c>
      <c r="W75" s="20">
        <f t="shared" si="22"/>
        <v>3.2597552972582164</v>
      </c>
      <c r="X75" s="20">
        <f t="shared" si="23"/>
        <v>31.74</v>
      </c>
      <c r="Y75" s="21">
        <f t="shared" si="24"/>
        <v>0.13857013314997568</v>
      </c>
      <c r="Z75" s="21">
        <f t="shared" si="25"/>
        <v>0.28234319860978058</v>
      </c>
      <c r="AA75" s="21">
        <f t="shared" si="26"/>
        <v>0.48215999999999998</v>
      </c>
      <c r="AB75" s="21">
        <f t="shared" si="27"/>
        <v>0.55339266927516995</v>
      </c>
    </row>
    <row r="76" spans="1:28" ht="16" customHeight="1" x14ac:dyDescent="0.2">
      <c r="A76" t="s">
        <v>28</v>
      </c>
      <c r="B76" t="s">
        <v>29</v>
      </c>
      <c r="C76" t="s">
        <v>189</v>
      </c>
      <c r="D76" t="s">
        <v>190</v>
      </c>
      <c r="E76" t="s">
        <v>32</v>
      </c>
      <c r="F76" t="s">
        <v>38</v>
      </c>
      <c r="G76" t="s">
        <v>34</v>
      </c>
      <c r="H76" s="16" t="s">
        <v>67</v>
      </c>
      <c r="I76" s="16" t="s">
        <v>67</v>
      </c>
      <c r="J76" s="18" t="s">
        <v>67</v>
      </c>
      <c r="K76" s="18" t="s">
        <v>67</v>
      </c>
      <c r="L76" s="11" t="s">
        <v>35</v>
      </c>
      <c r="M76" s="11" t="s">
        <v>35</v>
      </c>
      <c r="N76" s="14">
        <v>65</v>
      </c>
      <c r="O76" s="11">
        <v>250.62</v>
      </c>
      <c r="P76" s="13">
        <v>10.079000000000001</v>
      </c>
      <c r="Q76" s="11">
        <f t="shared" si="17"/>
        <v>125.98750000000001</v>
      </c>
      <c r="R76" s="20">
        <f t="shared" si="18"/>
        <v>50.270329582635064</v>
      </c>
      <c r="S76" s="20">
        <f t="shared" si="19"/>
        <v>0.50270329582635065</v>
      </c>
      <c r="T76" s="15" t="str">
        <f t="shared" si="20"/>
        <v>no data</v>
      </c>
      <c r="U76" s="15" t="str">
        <f t="shared" si="21"/>
        <v>no data</v>
      </c>
      <c r="V76" s="22" t="s">
        <v>68</v>
      </c>
      <c r="W76" s="20">
        <f t="shared" si="22"/>
        <v>5.1411786883619408</v>
      </c>
      <c r="X76" s="20">
        <f t="shared" si="23"/>
        <v>31.74</v>
      </c>
      <c r="Y76" s="21">
        <f t="shared" si="24"/>
        <v>0.13964167017652793</v>
      </c>
      <c r="Z76" s="21" t="str">
        <f t="shared" si="25"/>
        <v>-</v>
      </c>
      <c r="AA76" s="21" t="str">
        <f t="shared" si="26"/>
        <v>-</v>
      </c>
      <c r="AB76" s="21" t="str">
        <f t="shared" si="27"/>
        <v>-</v>
      </c>
    </row>
    <row r="77" spans="1:28" ht="16" customHeight="1" x14ac:dyDescent="0.2">
      <c r="A77" t="s">
        <v>28</v>
      </c>
      <c r="B77" t="s">
        <v>29</v>
      </c>
      <c r="C77" t="s">
        <v>191</v>
      </c>
      <c r="D77" t="s">
        <v>192</v>
      </c>
      <c r="E77" t="s">
        <v>32</v>
      </c>
      <c r="F77" t="s">
        <v>33</v>
      </c>
      <c r="G77" t="s">
        <v>34</v>
      </c>
      <c r="H77" s="15">
        <v>62.7</v>
      </c>
      <c r="I77" s="15">
        <f t="shared" ref="I77:I84" si="28">IF(H77=0, 0, -LOG10(H77*10^-6))</f>
        <v>4.2027324591692832</v>
      </c>
      <c r="J77" s="17">
        <v>0.56299999999999994</v>
      </c>
      <c r="K77" s="17">
        <v>338000</v>
      </c>
      <c r="L77" s="11" t="s">
        <v>35</v>
      </c>
      <c r="M77" s="11" t="s">
        <v>35</v>
      </c>
      <c r="N77" s="14">
        <v>65</v>
      </c>
      <c r="O77" s="11">
        <v>250.75</v>
      </c>
      <c r="P77" s="13">
        <v>14.69</v>
      </c>
      <c r="Q77" s="11">
        <f t="shared" si="17"/>
        <v>183.625</v>
      </c>
      <c r="R77" s="20">
        <f t="shared" si="18"/>
        <v>73.230309072781651</v>
      </c>
      <c r="S77" s="20">
        <f t="shared" si="19"/>
        <v>0.73230309072781652</v>
      </c>
      <c r="T77" s="15">
        <f t="shared" si="20"/>
        <v>45.915403788634094</v>
      </c>
      <c r="U77" s="15">
        <f t="shared" si="21"/>
        <v>4.3380415920634263</v>
      </c>
      <c r="V77" s="21">
        <v>0.17199999999999999</v>
      </c>
      <c r="W77" s="20">
        <f t="shared" si="22"/>
        <v>3.7973723621511231</v>
      </c>
      <c r="X77" s="20">
        <f t="shared" si="23"/>
        <v>31.74</v>
      </c>
      <c r="Y77" s="21">
        <f t="shared" si="24"/>
        <v>0.13882810121689121</v>
      </c>
      <c r="Z77" s="21">
        <f t="shared" si="25"/>
        <v>0.22103674284491115</v>
      </c>
      <c r="AA77" s="21">
        <f t="shared" si="26"/>
        <v>0.33711999999999998</v>
      </c>
      <c r="AB77" s="21">
        <f t="shared" si="27"/>
        <v>0.43323201597602584</v>
      </c>
    </row>
    <row r="78" spans="1:28" ht="16" customHeight="1" x14ac:dyDescent="0.2">
      <c r="A78" t="s">
        <v>28</v>
      </c>
      <c r="B78" t="s">
        <v>29</v>
      </c>
      <c r="C78" t="s">
        <v>193</v>
      </c>
      <c r="D78" t="s">
        <v>194</v>
      </c>
      <c r="E78" t="s">
        <v>32</v>
      </c>
      <c r="F78" t="s">
        <v>33</v>
      </c>
      <c r="G78" t="s">
        <v>34</v>
      </c>
      <c r="H78" s="15">
        <v>10.199999999999999</v>
      </c>
      <c r="I78" s="15">
        <f t="shared" si="28"/>
        <v>4.9913998282380829</v>
      </c>
      <c r="J78" s="17">
        <v>0.51100000000000001</v>
      </c>
      <c r="K78" s="17">
        <v>282000</v>
      </c>
      <c r="L78" s="11" t="s">
        <v>35</v>
      </c>
      <c r="M78" s="11" t="s">
        <v>35</v>
      </c>
      <c r="N78" s="14">
        <v>65</v>
      </c>
      <c r="O78" s="11">
        <v>250.08</v>
      </c>
      <c r="P78" s="13">
        <v>18.981000000000002</v>
      </c>
      <c r="Q78" s="11">
        <f t="shared" si="17"/>
        <v>237.26250000000002</v>
      </c>
      <c r="R78" s="20">
        <f t="shared" si="18"/>
        <v>94.874640115163146</v>
      </c>
      <c r="S78" s="20">
        <f t="shared" si="19"/>
        <v>0.94874640115163145</v>
      </c>
      <c r="T78" s="15">
        <f t="shared" si="20"/>
        <v>9.6772132917466394</v>
      </c>
      <c r="U78" s="15">
        <f t="shared" si="21"/>
        <v>5.0142496867263269</v>
      </c>
      <c r="V78" s="21">
        <v>0.109</v>
      </c>
      <c r="W78" s="20">
        <f t="shared" si="22"/>
        <v>3.1333259575364836</v>
      </c>
      <c r="X78" s="20">
        <f t="shared" si="23"/>
        <v>31.74</v>
      </c>
      <c r="Y78" s="21">
        <f t="shared" si="24"/>
        <v>0.13851511407133568</v>
      </c>
      <c r="Z78" s="21">
        <f t="shared" si="25"/>
        <v>0.17625957229664191</v>
      </c>
      <c r="AA78" s="21">
        <f t="shared" si="26"/>
        <v>0.21364</v>
      </c>
      <c r="AB78" s="21">
        <f t="shared" si="27"/>
        <v>0.34546876170141816</v>
      </c>
    </row>
    <row r="79" spans="1:28" ht="16" customHeight="1" x14ac:dyDescent="0.2">
      <c r="A79" t="s">
        <v>28</v>
      </c>
      <c r="B79" t="s">
        <v>29</v>
      </c>
      <c r="C79" t="s">
        <v>195</v>
      </c>
      <c r="D79" t="s">
        <v>196</v>
      </c>
      <c r="E79" t="s">
        <v>32</v>
      </c>
      <c r="F79" t="s">
        <v>33</v>
      </c>
      <c r="G79" t="s">
        <v>34</v>
      </c>
      <c r="H79" s="15">
        <v>1.82</v>
      </c>
      <c r="I79" s="15">
        <f t="shared" si="28"/>
        <v>5.7399286120149249</v>
      </c>
      <c r="J79" s="17">
        <v>0.749</v>
      </c>
      <c r="K79" s="17">
        <v>415000</v>
      </c>
      <c r="L79" s="11" t="s">
        <v>35</v>
      </c>
      <c r="M79" s="11" t="s">
        <v>35</v>
      </c>
      <c r="N79" s="14">
        <v>65</v>
      </c>
      <c r="O79" s="11">
        <v>250.75</v>
      </c>
      <c r="P79" s="13">
        <v>9.657</v>
      </c>
      <c r="Q79" s="11">
        <f t="shared" si="17"/>
        <v>120.71250000000001</v>
      </c>
      <c r="R79" s="20">
        <f t="shared" si="18"/>
        <v>48.14057826520439</v>
      </c>
      <c r="S79" s="20">
        <f t="shared" si="19"/>
        <v>0.48140578265204392</v>
      </c>
      <c r="T79" s="15">
        <f t="shared" si="20"/>
        <v>0.87615852442671993</v>
      </c>
      <c r="U79" s="15">
        <f t="shared" si="21"/>
        <v>6.0574173092940482</v>
      </c>
      <c r="V79" s="21">
        <v>0.14099999999999999</v>
      </c>
      <c r="W79" s="20">
        <f t="shared" si="22"/>
        <v>5.3282613648130894</v>
      </c>
      <c r="X79" s="20">
        <f t="shared" si="23"/>
        <v>31.74</v>
      </c>
      <c r="Y79" s="21">
        <f t="shared" si="24"/>
        <v>0.13977388345488909</v>
      </c>
      <c r="Z79" s="21">
        <f t="shared" si="25"/>
        <v>0.19853901001078078</v>
      </c>
      <c r="AA79" s="21">
        <f t="shared" si="26"/>
        <v>0.27635999999999999</v>
      </c>
      <c r="AB79" s="21">
        <f t="shared" si="27"/>
        <v>0.3891364596211303</v>
      </c>
    </row>
    <row r="80" spans="1:28" ht="16" customHeight="1" x14ac:dyDescent="0.2">
      <c r="A80" t="s">
        <v>28</v>
      </c>
      <c r="B80" t="s">
        <v>29</v>
      </c>
      <c r="C80" t="s">
        <v>197</v>
      </c>
      <c r="D80" t="s">
        <v>198</v>
      </c>
      <c r="E80" t="s">
        <v>32</v>
      </c>
      <c r="F80" t="s">
        <v>33</v>
      </c>
      <c r="G80" t="s">
        <v>34</v>
      </c>
      <c r="H80" s="15">
        <v>2.2000000000000002</v>
      </c>
      <c r="I80" s="15">
        <f t="shared" si="28"/>
        <v>5.6575773191777934</v>
      </c>
      <c r="J80" s="17">
        <v>0.49099999999999999</v>
      </c>
      <c r="K80" s="17">
        <v>275000</v>
      </c>
      <c r="L80" s="11" t="s">
        <v>35</v>
      </c>
      <c r="M80" s="11" t="s">
        <v>35</v>
      </c>
      <c r="N80" s="14">
        <v>65</v>
      </c>
      <c r="O80" s="11">
        <v>250.02</v>
      </c>
      <c r="P80" s="13">
        <v>9.4510000000000005</v>
      </c>
      <c r="Q80" s="11">
        <f t="shared" si="17"/>
        <v>118.1375</v>
      </c>
      <c r="R80" s="20">
        <f t="shared" si="18"/>
        <v>47.251219902407804</v>
      </c>
      <c r="S80" s="20">
        <f t="shared" si="19"/>
        <v>0.47251219902407804</v>
      </c>
      <c r="T80" s="15">
        <f t="shared" si="20"/>
        <v>1.0395268378529718</v>
      </c>
      <c r="U80" s="15">
        <f t="shared" si="21"/>
        <v>5.9831642938447844</v>
      </c>
      <c r="V80" s="21">
        <v>8.14E-2</v>
      </c>
      <c r="W80" s="20">
        <f t="shared" si="22"/>
        <v>5.4256544281028463</v>
      </c>
      <c r="X80" s="20">
        <f t="shared" si="23"/>
        <v>31.74</v>
      </c>
      <c r="Y80" s="21">
        <f t="shared" si="24"/>
        <v>0.13984453107086595</v>
      </c>
      <c r="Z80" s="21">
        <f t="shared" si="25"/>
        <v>0.16180992821959472</v>
      </c>
      <c r="AA80" s="21">
        <f t="shared" si="26"/>
        <v>0.15954399999999999</v>
      </c>
      <c r="AB80" s="21">
        <f t="shared" si="27"/>
        <v>0.31714745931040567</v>
      </c>
    </row>
    <row r="81" spans="1:28" ht="16" customHeight="1" x14ac:dyDescent="0.2">
      <c r="A81" t="s">
        <v>28</v>
      </c>
      <c r="B81" t="s">
        <v>29</v>
      </c>
      <c r="C81" t="s">
        <v>199</v>
      </c>
      <c r="D81" t="s">
        <v>200</v>
      </c>
      <c r="E81" t="s">
        <v>32</v>
      </c>
      <c r="F81" t="s">
        <v>38</v>
      </c>
      <c r="G81" t="s">
        <v>34</v>
      </c>
      <c r="H81" s="15">
        <v>17300</v>
      </c>
      <c r="I81" s="15">
        <f t="shared" si="28"/>
        <v>1.7619538968712045</v>
      </c>
      <c r="J81" s="17">
        <v>1.1299999999999999</v>
      </c>
      <c r="K81" s="17">
        <v>578000</v>
      </c>
      <c r="L81" s="11" t="s">
        <v>35</v>
      </c>
      <c r="M81" s="11" t="s">
        <v>35</v>
      </c>
      <c r="N81" s="14">
        <v>65</v>
      </c>
      <c r="O81" s="11">
        <v>249.63</v>
      </c>
      <c r="P81" s="13">
        <v>10.292</v>
      </c>
      <c r="Q81" s="11">
        <f t="shared" si="17"/>
        <v>128.65</v>
      </c>
      <c r="R81" s="20">
        <f t="shared" si="18"/>
        <v>51.536273685053878</v>
      </c>
      <c r="S81" s="20">
        <f t="shared" si="19"/>
        <v>0.51536273685053879</v>
      </c>
      <c r="T81" s="15">
        <f t="shared" si="20"/>
        <v>8915.7753475143218</v>
      </c>
      <c r="U81" s="15">
        <f t="shared" si="21"/>
        <v>2.0498408830545243</v>
      </c>
      <c r="V81" s="21">
        <v>0.54800000000000004</v>
      </c>
      <c r="W81" s="20">
        <f t="shared" si="22"/>
        <v>5.0525767586474934</v>
      </c>
      <c r="X81" s="20">
        <f t="shared" si="23"/>
        <v>31.74</v>
      </c>
      <c r="Y81" s="21">
        <f t="shared" si="24"/>
        <v>0.13958066090135601</v>
      </c>
      <c r="Z81" s="21">
        <f t="shared" si="25"/>
        <v>0.56549691502046184</v>
      </c>
      <c r="AA81" s="21">
        <f t="shared" si="26"/>
        <v>1.0740800000000001</v>
      </c>
      <c r="AB81" s="21">
        <f t="shared" si="27"/>
        <v>1.1083739534401051</v>
      </c>
    </row>
    <row r="82" spans="1:28" ht="16" customHeight="1" x14ac:dyDescent="0.2">
      <c r="A82" t="s">
        <v>28</v>
      </c>
      <c r="B82" t="s">
        <v>29</v>
      </c>
      <c r="C82" t="s">
        <v>201</v>
      </c>
      <c r="D82" t="s">
        <v>202</v>
      </c>
      <c r="E82" t="s">
        <v>32</v>
      </c>
      <c r="F82" t="s">
        <v>33</v>
      </c>
      <c r="G82" t="s">
        <v>34</v>
      </c>
      <c r="H82" s="15">
        <v>262</v>
      </c>
      <c r="I82" s="15">
        <f t="shared" si="28"/>
        <v>3.5816987086802548</v>
      </c>
      <c r="J82" s="17">
        <v>1.1499999999999999</v>
      </c>
      <c r="K82" s="17">
        <v>581000</v>
      </c>
      <c r="L82" s="11" t="s">
        <v>35</v>
      </c>
      <c r="M82" s="11" t="s">
        <v>35</v>
      </c>
      <c r="N82" s="14">
        <v>65</v>
      </c>
      <c r="O82" s="11">
        <v>250.6</v>
      </c>
      <c r="P82" s="13">
        <v>16.236999999999998</v>
      </c>
      <c r="Q82" s="11">
        <f t="shared" si="17"/>
        <v>202.96249999999998</v>
      </c>
      <c r="R82" s="20">
        <f t="shared" si="18"/>
        <v>80.990622505985627</v>
      </c>
      <c r="S82" s="20">
        <f t="shared" si="19"/>
        <v>0.80990622505985632</v>
      </c>
      <c r="T82" s="15">
        <f t="shared" si="20"/>
        <v>212.19543096568236</v>
      </c>
      <c r="U82" s="15">
        <f t="shared" si="21"/>
        <v>3.6732639716493569</v>
      </c>
      <c r="V82" s="21">
        <v>0.28999999999999998</v>
      </c>
      <c r="W82" s="20">
        <f t="shared" si="22"/>
        <v>3.5175106238837226</v>
      </c>
      <c r="X82" s="20">
        <f t="shared" si="23"/>
        <v>31.74</v>
      </c>
      <c r="Y82" s="21">
        <f t="shared" si="24"/>
        <v>0.13868896831854391</v>
      </c>
      <c r="Z82" s="21">
        <f t="shared" si="25"/>
        <v>0.3214570421273456</v>
      </c>
      <c r="AA82" s="21">
        <f t="shared" si="26"/>
        <v>0.56839999999999991</v>
      </c>
      <c r="AB82" s="21">
        <f t="shared" si="27"/>
        <v>0.63005580256959737</v>
      </c>
    </row>
    <row r="83" spans="1:28" ht="16" customHeight="1" x14ac:dyDescent="0.2">
      <c r="A83" t="s">
        <v>28</v>
      </c>
      <c r="B83" t="s">
        <v>29</v>
      </c>
      <c r="C83" t="s">
        <v>203</v>
      </c>
      <c r="D83" t="s">
        <v>204</v>
      </c>
      <c r="E83" t="s">
        <v>32</v>
      </c>
      <c r="F83" t="s">
        <v>38</v>
      </c>
      <c r="G83" t="s">
        <v>34</v>
      </c>
      <c r="H83" s="15">
        <v>10.5</v>
      </c>
      <c r="I83" s="15">
        <f t="shared" si="28"/>
        <v>4.9788107009300617</v>
      </c>
      <c r="J83" s="17">
        <v>1.1599999999999999</v>
      </c>
      <c r="K83" s="17">
        <v>528000</v>
      </c>
      <c r="L83" s="11" t="s">
        <v>35</v>
      </c>
      <c r="M83" s="11" t="s">
        <v>35</v>
      </c>
      <c r="N83" s="14">
        <v>65</v>
      </c>
      <c r="O83" s="11">
        <v>250.71</v>
      </c>
      <c r="P83" s="13">
        <v>17.895</v>
      </c>
      <c r="Q83" s="11">
        <f t="shared" si="17"/>
        <v>223.6875</v>
      </c>
      <c r="R83" s="20">
        <f t="shared" si="18"/>
        <v>89.221610625822649</v>
      </c>
      <c r="S83" s="20">
        <f t="shared" si="19"/>
        <v>0.89221610625822645</v>
      </c>
      <c r="T83" s="15">
        <f t="shared" si="20"/>
        <v>9.368269115711378</v>
      </c>
      <c r="U83" s="15">
        <f t="shared" si="21"/>
        <v>5.0283406420828189</v>
      </c>
      <c r="V83" s="21">
        <v>0.157</v>
      </c>
      <c r="W83" s="20">
        <f t="shared" si="22"/>
        <v>3.2712880692930986</v>
      </c>
      <c r="X83" s="20">
        <f t="shared" si="23"/>
        <v>31.74</v>
      </c>
      <c r="Y83" s="21">
        <f t="shared" si="24"/>
        <v>0.13857525913384364</v>
      </c>
      <c r="Z83" s="21">
        <f t="shared" si="25"/>
        <v>0.20940893592206594</v>
      </c>
      <c r="AA83" s="21">
        <f t="shared" si="26"/>
        <v>0.30771999999999999</v>
      </c>
      <c r="AB83" s="21">
        <f t="shared" si="27"/>
        <v>0.41044151440724924</v>
      </c>
    </row>
    <row r="84" spans="1:28" ht="16" customHeight="1" x14ac:dyDescent="0.2">
      <c r="A84" t="s">
        <v>28</v>
      </c>
      <c r="B84" t="s">
        <v>29</v>
      </c>
      <c r="C84" t="s">
        <v>205</v>
      </c>
      <c r="D84" t="s">
        <v>206</v>
      </c>
      <c r="E84" t="s">
        <v>32</v>
      </c>
      <c r="F84" t="s">
        <v>38</v>
      </c>
      <c r="G84" t="s">
        <v>34</v>
      </c>
      <c r="H84" s="15">
        <v>17800</v>
      </c>
      <c r="I84" s="15">
        <f t="shared" si="28"/>
        <v>1.7495799976911059</v>
      </c>
      <c r="J84" s="17">
        <v>1.1399999999999999</v>
      </c>
      <c r="K84" s="17">
        <v>522000</v>
      </c>
      <c r="L84" s="11" t="s">
        <v>35</v>
      </c>
      <c r="M84" s="11" t="s">
        <v>35</v>
      </c>
      <c r="N84" s="14">
        <v>65</v>
      </c>
      <c r="O84" s="11">
        <v>249.89</v>
      </c>
      <c r="P84" s="13">
        <v>9.1170000000000009</v>
      </c>
      <c r="Q84" s="11">
        <f t="shared" si="17"/>
        <v>113.96250000000001</v>
      </c>
      <c r="R84" s="20">
        <f t="shared" si="18"/>
        <v>45.605066229140832</v>
      </c>
      <c r="S84" s="20">
        <f t="shared" si="19"/>
        <v>0.45605066229140834</v>
      </c>
      <c r="T84" s="15">
        <f t="shared" si="20"/>
        <v>8117.7017887870688</v>
      </c>
      <c r="U84" s="15">
        <f t="shared" si="21"/>
        <v>2.0905669069314028</v>
      </c>
      <c r="V84" s="21">
        <v>0.53100000000000003</v>
      </c>
      <c r="W84" s="20">
        <f t="shared" si="22"/>
        <v>5.5929165295601617</v>
      </c>
      <c r="X84" s="20">
        <f t="shared" si="23"/>
        <v>31.74</v>
      </c>
      <c r="Y84" s="21">
        <f t="shared" si="24"/>
        <v>0.13996876010383796</v>
      </c>
      <c r="Z84" s="21">
        <f t="shared" si="25"/>
        <v>0.54913773664264398</v>
      </c>
      <c r="AA84" s="21">
        <f t="shared" si="26"/>
        <v>1.0407600000000001</v>
      </c>
      <c r="AB84" s="21">
        <f t="shared" si="27"/>
        <v>1.0763099638195821</v>
      </c>
    </row>
    <row r="85" spans="1:28" ht="16" customHeight="1" x14ac:dyDescent="0.2">
      <c r="A85" t="s">
        <v>28</v>
      </c>
      <c r="B85" t="s">
        <v>29</v>
      </c>
      <c r="C85" t="s">
        <v>207</v>
      </c>
      <c r="D85" t="s">
        <v>208</v>
      </c>
      <c r="E85" t="s">
        <v>32</v>
      </c>
      <c r="F85" t="s">
        <v>38</v>
      </c>
      <c r="G85" t="s">
        <v>34</v>
      </c>
      <c r="H85" s="16" t="s">
        <v>67</v>
      </c>
      <c r="I85" s="16" t="s">
        <v>67</v>
      </c>
      <c r="J85" s="18" t="s">
        <v>67</v>
      </c>
      <c r="K85" s="18" t="s">
        <v>67</v>
      </c>
      <c r="L85" s="11" t="s">
        <v>35</v>
      </c>
      <c r="M85" s="11" t="s">
        <v>35</v>
      </c>
      <c r="N85" s="14">
        <v>65</v>
      </c>
      <c r="O85" s="11">
        <v>250.53</v>
      </c>
      <c r="P85" s="13">
        <v>4.1289999999999996</v>
      </c>
      <c r="Q85" s="11">
        <f t="shared" si="17"/>
        <v>51.612499999999997</v>
      </c>
      <c r="R85" s="20">
        <f t="shared" si="18"/>
        <v>20.601325190595933</v>
      </c>
      <c r="S85" s="20">
        <f t="shared" si="19"/>
        <v>0.20601325190595932</v>
      </c>
      <c r="T85" s="15" t="str">
        <f t="shared" si="20"/>
        <v>no data</v>
      </c>
      <c r="U85" s="15" t="str">
        <f t="shared" si="21"/>
        <v>no data</v>
      </c>
      <c r="V85" s="22" t="s">
        <v>68</v>
      </c>
      <c r="W85" s="20">
        <f t="shared" si="22"/>
        <v>11.310472269314603</v>
      </c>
      <c r="X85" s="20">
        <f t="shared" si="23"/>
        <v>31.74</v>
      </c>
      <c r="Y85" s="21">
        <f t="shared" si="24"/>
        <v>0.14633561319060509</v>
      </c>
      <c r="Z85" s="21" t="str">
        <f t="shared" si="25"/>
        <v>-</v>
      </c>
      <c r="AA85" s="21" t="str">
        <f t="shared" si="26"/>
        <v>-</v>
      </c>
      <c r="AB85" s="21" t="str">
        <f t="shared" si="27"/>
        <v>-</v>
      </c>
    </row>
    <row r="86" spans="1:28" ht="16" customHeight="1" x14ac:dyDescent="0.2">
      <c r="A86" t="s">
        <v>28</v>
      </c>
      <c r="B86" t="s">
        <v>29</v>
      </c>
      <c r="C86" t="s">
        <v>209</v>
      </c>
      <c r="D86" t="s">
        <v>210</v>
      </c>
      <c r="E86" t="s">
        <v>32</v>
      </c>
      <c r="F86" t="s">
        <v>33</v>
      </c>
      <c r="G86" t="s">
        <v>34</v>
      </c>
      <c r="H86" s="15">
        <v>24.3</v>
      </c>
      <c r="I86" s="15">
        <f t="shared" ref="I86:I102" si="29">IF(H86=0, 0, -LOG10(H86*10^-6))</f>
        <v>4.6143937264016879</v>
      </c>
      <c r="J86" s="17">
        <v>0.60899999999999999</v>
      </c>
      <c r="K86" s="17">
        <v>357000</v>
      </c>
      <c r="L86" s="11" t="s">
        <v>35</v>
      </c>
      <c r="M86" s="11" t="s">
        <v>81</v>
      </c>
      <c r="N86" s="14">
        <v>65</v>
      </c>
      <c r="O86" s="11">
        <v>249.28</v>
      </c>
      <c r="P86" s="23" t="s">
        <v>82</v>
      </c>
      <c r="Q86" s="11" t="str">
        <f t="shared" si="17"/>
        <v>-</v>
      </c>
      <c r="R86" s="24" t="str">
        <f t="shared" si="18"/>
        <v>-</v>
      </c>
      <c r="S86" s="20" t="str">
        <f t="shared" si="19"/>
        <v>-</v>
      </c>
      <c r="T86" s="15" t="str">
        <f t="shared" si="20"/>
        <v>-</v>
      </c>
      <c r="U86" s="15" t="str">
        <f t="shared" si="21"/>
        <v>-</v>
      </c>
      <c r="V86" s="21">
        <v>0.127</v>
      </c>
      <c r="W86" s="20" t="str">
        <f t="shared" si="22"/>
        <v>-</v>
      </c>
      <c r="X86" s="20" t="str">
        <f t="shared" si="23"/>
        <v>-</v>
      </c>
      <c r="Y86" s="21" t="str">
        <f t="shared" si="24"/>
        <v>-</v>
      </c>
      <c r="Z86" s="21" t="str">
        <f t="shared" si="25"/>
        <v>-</v>
      </c>
      <c r="AA86" s="21">
        <f t="shared" si="26"/>
        <v>0.24892</v>
      </c>
      <c r="AB86" s="21" t="str">
        <f t="shared" si="27"/>
        <v>-</v>
      </c>
    </row>
    <row r="87" spans="1:28" ht="16" customHeight="1" x14ac:dyDescent="0.2">
      <c r="A87" t="s">
        <v>28</v>
      </c>
      <c r="B87" t="s">
        <v>29</v>
      </c>
      <c r="C87" t="s">
        <v>211</v>
      </c>
      <c r="D87" t="s">
        <v>212</v>
      </c>
      <c r="E87" t="s">
        <v>32</v>
      </c>
      <c r="F87" t="s">
        <v>33</v>
      </c>
      <c r="G87" t="s">
        <v>34</v>
      </c>
      <c r="H87" s="15">
        <v>169</v>
      </c>
      <c r="I87" s="15">
        <f t="shared" si="29"/>
        <v>3.7721132953863266</v>
      </c>
      <c r="J87" s="17">
        <v>1.2</v>
      </c>
      <c r="K87" s="17">
        <v>602000</v>
      </c>
      <c r="L87" s="11" t="s">
        <v>35</v>
      </c>
      <c r="M87" s="11" t="s">
        <v>35</v>
      </c>
      <c r="N87" s="14">
        <v>65</v>
      </c>
      <c r="O87" s="11">
        <v>249.81</v>
      </c>
      <c r="P87" s="13">
        <v>13.372</v>
      </c>
      <c r="Q87" s="11">
        <f t="shared" si="17"/>
        <v>167.15</v>
      </c>
      <c r="R87" s="20">
        <f t="shared" si="18"/>
        <v>66.910852247708263</v>
      </c>
      <c r="S87" s="20">
        <f t="shared" si="19"/>
        <v>0.66910852247708263</v>
      </c>
      <c r="T87" s="15">
        <f t="shared" si="20"/>
        <v>113.07934029862696</v>
      </c>
      <c r="U87" s="15">
        <f t="shared" si="21"/>
        <v>3.9466167338356994</v>
      </c>
      <c r="V87" s="21">
        <v>0.23499999999999999</v>
      </c>
      <c r="W87" s="20">
        <f t="shared" si="22"/>
        <v>4.0868920131618305</v>
      </c>
      <c r="X87" s="20">
        <f t="shared" si="23"/>
        <v>31.74</v>
      </c>
      <c r="Y87" s="21">
        <f t="shared" si="24"/>
        <v>0.13898307496424586</v>
      </c>
      <c r="Z87" s="21">
        <f t="shared" si="25"/>
        <v>0.27302251761808433</v>
      </c>
      <c r="AA87" s="21">
        <f t="shared" si="26"/>
        <v>0.46059999999999995</v>
      </c>
      <c r="AB87" s="21">
        <f t="shared" si="27"/>
        <v>0.53512413453144525</v>
      </c>
    </row>
    <row r="88" spans="1:28" ht="16" customHeight="1" x14ac:dyDescent="0.2">
      <c r="A88" t="s">
        <v>28</v>
      </c>
      <c r="B88" t="s">
        <v>29</v>
      </c>
      <c r="C88" t="s">
        <v>213</v>
      </c>
      <c r="D88" t="s">
        <v>214</v>
      </c>
      <c r="E88" t="s">
        <v>32</v>
      </c>
      <c r="F88" t="s">
        <v>33</v>
      </c>
      <c r="G88" t="s">
        <v>34</v>
      </c>
      <c r="H88" s="15">
        <v>138</v>
      </c>
      <c r="I88" s="15">
        <f t="shared" si="29"/>
        <v>3.8601209135987635</v>
      </c>
      <c r="J88" s="17">
        <v>1.1499999999999999</v>
      </c>
      <c r="K88" s="17">
        <v>581000</v>
      </c>
      <c r="L88" s="11" t="s">
        <v>35</v>
      </c>
      <c r="M88" s="11" t="s">
        <v>35</v>
      </c>
      <c r="N88" s="14">
        <v>65</v>
      </c>
      <c r="O88" s="11">
        <v>249.63</v>
      </c>
      <c r="P88" s="13">
        <v>12.981999999999999</v>
      </c>
      <c r="Q88" s="11">
        <f t="shared" si="17"/>
        <v>162.27499999999998</v>
      </c>
      <c r="R88" s="20">
        <f t="shared" si="18"/>
        <v>65.006209189600611</v>
      </c>
      <c r="S88" s="20">
        <f t="shared" si="19"/>
        <v>0.65006209189600606</v>
      </c>
      <c r="T88" s="15">
        <f t="shared" si="20"/>
        <v>89.708568681648842</v>
      </c>
      <c r="U88" s="15">
        <f t="shared" si="21"/>
        <v>4.0471660725252869</v>
      </c>
      <c r="V88" s="21">
        <v>0.23200000000000001</v>
      </c>
      <c r="W88" s="20">
        <f t="shared" si="22"/>
        <v>4.1838329995378221</v>
      </c>
      <c r="X88" s="20">
        <f t="shared" si="23"/>
        <v>31.74</v>
      </c>
      <c r="Y88" s="21">
        <f t="shared" si="24"/>
        <v>0.13903746793153324</v>
      </c>
      <c r="Z88" s="21">
        <f t="shared" si="25"/>
        <v>0.27047258176904387</v>
      </c>
      <c r="AA88" s="21">
        <f t="shared" si="26"/>
        <v>0.45472000000000001</v>
      </c>
      <c r="AB88" s="21">
        <f t="shared" si="27"/>
        <v>0.53012626026732601</v>
      </c>
    </row>
    <row r="89" spans="1:28" ht="16" customHeight="1" x14ac:dyDescent="0.2">
      <c r="A89" t="s">
        <v>28</v>
      </c>
      <c r="B89" t="s">
        <v>29</v>
      </c>
      <c r="C89" t="s">
        <v>215</v>
      </c>
      <c r="D89" t="s">
        <v>216</v>
      </c>
      <c r="E89" t="s">
        <v>32</v>
      </c>
      <c r="F89" t="s">
        <v>33</v>
      </c>
      <c r="G89" t="s">
        <v>34</v>
      </c>
      <c r="H89" s="15">
        <v>11.1</v>
      </c>
      <c r="I89" s="15">
        <f t="shared" si="29"/>
        <v>4.9546770212133424</v>
      </c>
      <c r="J89" s="17">
        <v>0.63400000000000001</v>
      </c>
      <c r="K89" s="17">
        <v>369000</v>
      </c>
      <c r="L89" s="11" t="s">
        <v>35</v>
      </c>
      <c r="M89" s="11" t="s">
        <v>35</v>
      </c>
      <c r="N89" s="14">
        <v>65</v>
      </c>
      <c r="O89" s="11">
        <v>250.47</v>
      </c>
      <c r="P89" s="13">
        <v>10.4</v>
      </c>
      <c r="Q89" s="11">
        <f t="shared" si="17"/>
        <v>130</v>
      </c>
      <c r="R89" s="20">
        <f t="shared" si="18"/>
        <v>51.902423443925414</v>
      </c>
      <c r="S89" s="20">
        <f t="shared" si="19"/>
        <v>0.51902423443925416</v>
      </c>
      <c r="T89" s="15">
        <f t="shared" si="20"/>
        <v>5.7611690022757207</v>
      </c>
      <c r="U89" s="15">
        <f t="shared" si="21"/>
        <v>5.2394893846798736</v>
      </c>
      <c r="V89" s="21">
        <v>0.19600000000000001</v>
      </c>
      <c r="W89" s="20">
        <f t="shared" si="22"/>
        <v>5.009038461538462</v>
      </c>
      <c r="X89" s="20">
        <f t="shared" si="23"/>
        <v>31.74</v>
      </c>
      <c r="Y89" s="21">
        <f t="shared" si="24"/>
        <v>0.13955106043370752</v>
      </c>
      <c r="Z89" s="21">
        <f t="shared" si="25"/>
        <v>0.24060444399090447</v>
      </c>
      <c r="AA89" s="21">
        <f t="shared" si="26"/>
        <v>0.38416</v>
      </c>
      <c r="AB89" s="21">
        <f t="shared" si="27"/>
        <v>0.47158471022217274</v>
      </c>
    </row>
    <row r="90" spans="1:28" ht="16" customHeight="1" x14ac:dyDescent="0.2">
      <c r="A90" t="s">
        <v>28</v>
      </c>
      <c r="B90" t="s">
        <v>29</v>
      </c>
      <c r="C90" t="s">
        <v>217</v>
      </c>
      <c r="D90" t="s">
        <v>218</v>
      </c>
      <c r="E90" t="s">
        <v>32</v>
      </c>
      <c r="F90" t="s">
        <v>33</v>
      </c>
      <c r="G90" t="s">
        <v>34</v>
      </c>
      <c r="H90" s="15">
        <v>158</v>
      </c>
      <c r="I90" s="15">
        <f t="shared" si="29"/>
        <v>3.8013429130455774</v>
      </c>
      <c r="J90" s="17">
        <v>1.1200000000000001</v>
      </c>
      <c r="K90" s="17">
        <v>569000</v>
      </c>
      <c r="L90" s="11" t="s">
        <v>35</v>
      </c>
      <c r="M90" s="11" t="s">
        <v>35</v>
      </c>
      <c r="N90" s="14">
        <v>65</v>
      </c>
      <c r="O90" s="11">
        <v>249.72</v>
      </c>
      <c r="P90" s="13">
        <v>3.3260000000000001</v>
      </c>
      <c r="Q90" s="11">
        <f t="shared" si="17"/>
        <v>41.575000000000003</v>
      </c>
      <c r="R90" s="20">
        <f t="shared" si="18"/>
        <v>16.648646484062152</v>
      </c>
      <c r="S90" s="20">
        <f t="shared" si="19"/>
        <v>0.16648646484062152</v>
      </c>
      <c r="T90" s="15">
        <f t="shared" si="20"/>
        <v>26.304861444818201</v>
      </c>
      <c r="U90" s="15">
        <f t="shared" si="21"/>
        <v>4.5799639814132727</v>
      </c>
      <c r="V90" s="21">
        <v>0.24</v>
      </c>
      <c r="W90" s="20">
        <f t="shared" si="22"/>
        <v>13.833541791942272</v>
      </c>
      <c r="X90" s="20">
        <f t="shared" si="23"/>
        <v>31.74</v>
      </c>
      <c r="Y90" s="21">
        <f t="shared" si="24"/>
        <v>0.15036843450665208</v>
      </c>
      <c r="Z90" s="21">
        <f t="shared" si="25"/>
        <v>0.28321487619117275</v>
      </c>
      <c r="AA90" s="21">
        <f t="shared" si="26"/>
        <v>0.47039999999999998</v>
      </c>
      <c r="AB90" s="21">
        <f t="shared" si="27"/>
        <v>0.55510115733469856</v>
      </c>
    </row>
    <row r="91" spans="1:28" ht="16" customHeight="1" x14ac:dyDescent="0.2">
      <c r="A91" t="s">
        <v>28</v>
      </c>
      <c r="B91" t="s">
        <v>29</v>
      </c>
      <c r="C91" t="s">
        <v>219</v>
      </c>
      <c r="D91" t="s">
        <v>220</v>
      </c>
      <c r="E91" t="s">
        <v>32</v>
      </c>
      <c r="F91" t="s">
        <v>33</v>
      </c>
      <c r="G91" t="s">
        <v>34</v>
      </c>
      <c r="H91" s="15">
        <v>215</v>
      </c>
      <c r="I91" s="15">
        <f t="shared" si="29"/>
        <v>3.6675615400843946</v>
      </c>
      <c r="J91" s="17">
        <v>1.21</v>
      </c>
      <c r="K91" s="17">
        <v>546000</v>
      </c>
      <c r="L91" s="11" t="s">
        <v>35</v>
      </c>
      <c r="M91" s="11" t="s">
        <v>35</v>
      </c>
      <c r="N91" s="14">
        <v>65</v>
      </c>
      <c r="O91" s="11">
        <v>250.65</v>
      </c>
      <c r="P91" s="13">
        <v>16.541</v>
      </c>
      <c r="Q91" s="11">
        <f t="shared" si="17"/>
        <v>206.76250000000002</v>
      </c>
      <c r="R91" s="20">
        <f t="shared" si="18"/>
        <v>82.490524635946542</v>
      </c>
      <c r="S91" s="20">
        <f t="shared" si="19"/>
        <v>0.82490524635946538</v>
      </c>
      <c r="T91" s="15">
        <f t="shared" si="20"/>
        <v>177.35462796728507</v>
      </c>
      <c r="U91" s="15">
        <f t="shared" si="21"/>
        <v>3.7511574743787848</v>
      </c>
      <c r="V91" s="21">
        <v>0.252</v>
      </c>
      <c r="W91" s="20">
        <f t="shared" si="22"/>
        <v>3.468669367027386</v>
      </c>
      <c r="X91" s="20">
        <f t="shared" si="23"/>
        <v>31.74</v>
      </c>
      <c r="Y91" s="21">
        <f t="shared" si="24"/>
        <v>0.13866576449023474</v>
      </c>
      <c r="Z91" s="21">
        <f t="shared" si="25"/>
        <v>0.28763204661800335</v>
      </c>
      <c r="AA91" s="21">
        <f t="shared" si="26"/>
        <v>0.49391999999999997</v>
      </c>
      <c r="AB91" s="21">
        <f t="shared" si="27"/>
        <v>0.56375881137128658</v>
      </c>
    </row>
    <row r="92" spans="1:28" ht="16" customHeight="1" x14ac:dyDescent="0.2">
      <c r="A92" t="s">
        <v>28</v>
      </c>
      <c r="B92" t="s">
        <v>29</v>
      </c>
      <c r="C92" t="s">
        <v>221</v>
      </c>
      <c r="D92" t="s">
        <v>222</v>
      </c>
      <c r="E92" t="s">
        <v>32</v>
      </c>
      <c r="F92" t="s">
        <v>33</v>
      </c>
      <c r="G92" t="s">
        <v>34</v>
      </c>
      <c r="H92" s="15">
        <v>21.9</v>
      </c>
      <c r="I92" s="15">
        <f t="shared" si="29"/>
        <v>4.6595558851598815</v>
      </c>
      <c r="J92" s="17">
        <v>0.57299999999999995</v>
      </c>
      <c r="K92" s="17">
        <v>305000</v>
      </c>
      <c r="L92" s="11" t="s">
        <v>35</v>
      </c>
      <c r="M92" s="11" t="s">
        <v>35</v>
      </c>
      <c r="N92" s="14">
        <v>65</v>
      </c>
      <c r="O92" s="11">
        <v>249.68</v>
      </c>
      <c r="P92" s="13">
        <v>16.573</v>
      </c>
      <c r="Q92" s="11">
        <f t="shared" si="17"/>
        <v>207.16249999999999</v>
      </c>
      <c r="R92" s="20">
        <f t="shared" si="18"/>
        <v>82.971203140019227</v>
      </c>
      <c r="S92" s="20">
        <f t="shared" si="19"/>
        <v>0.82971203140019223</v>
      </c>
      <c r="T92" s="15">
        <f t="shared" si="20"/>
        <v>18.170693487664209</v>
      </c>
      <c r="U92" s="15">
        <f t="shared" si="21"/>
        <v>4.7406284974515414</v>
      </c>
      <c r="V92" s="21">
        <v>0.14599999999999999</v>
      </c>
      <c r="W92" s="20">
        <f t="shared" si="22"/>
        <v>3.4636324141676216</v>
      </c>
      <c r="X92" s="20">
        <f t="shared" si="23"/>
        <v>31.74</v>
      </c>
      <c r="Y92" s="21">
        <f t="shared" si="24"/>
        <v>0.13866338973724993</v>
      </c>
      <c r="Z92" s="21">
        <f t="shared" si="25"/>
        <v>0.2013542541229871</v>
      </c>
      <c r="AA92" s="21">
        <f t="shared" si="26"/>
        <v>0.28615999999999997</v>
      </c>
      <c r="AB92" s="21">
        <f t="shared" si="27"/>
        <v>0.39465433808105471</v>
      </c>
    </row>
    <row r="93" spans="1:28" ht="16" customHeight="1" x14ac:dyDescent="0.2">
      <c r="A93" t="s">
        <v>28</v>
      </c>
      <c r="B93" t="s">
        <v>29</v>
      </c>
      <c r="C93" t="s">
        <v>223</v>
      </c>
      <c r="D93" t="s">
        <v>224</v>
      </c>
      <c r="E93" t="s">
        <v>32</v>
      </c>
      <c r="F93" t="s">
        <v>33</v>
      </c>
      <c r="G93" t="s">
        <v>34</v>
      </c>
      <c r="H93" s="15">
        <v>147</v>
      </c>
      <c r="I93" s="15">
        <f t="shared" si="29"/>
        <v>3.832682665251824</v>
      </c>
      <c r="J93" s="17">
        <v>1.28</v>
      </c>
      <c r="K93" s="17">
        <v>634000</v>
      </c>
      <c r="L93" s="11" t="s">
        <v>35</v>
      </c>
      <c r="M93" s="11" t="s">
        <v>55</v>
      </c>
      <c r="N93" s="14">
        <v>65</v>
      </c>
      <c r="O93" s="11">
        <v>249.95</v>
      </c>
      <c r="P93" s="23" t="s">
        <v>56</v>
      </c>
      <c r="Q93" s="11" t="str">
        <f t="shared" si="17"/>
        <v>-</v>
      </c>
      <c r="R93" s="24" t="str">
        <f t="shared" si="18"/>
        <v>-</v>
      </c>
      <c r="S93" s="20" t="str">
        <f t="shared" si="19"/>
        <v>-</v>
      </c>
      <c r="T93" s="15" t="str">
        <f t="shared" si="20"/>
        <v>-</v>
      </c>
      <c r="U93" s="15" t="str">
        <f t="shared" si="21"/>
        <v>-</v>
      </c>
      <c r="V93" s="21">
        <v>0.188</v>
      </c>
      <c r="W93" s="20" t="str">
        <f t="shared" si="22"/>
        <v>-</v>
      </c>
      <c r="X93" s="20" t="str">
        <f t="shared" si="23"/>
        <v>-</v>
      </c>
      <c r="Y93" s="21" t="str">
        <f t="shared" si="24"/>
        <v>-</v>
      </c>
      <c r="Z93" s="21" t="str">
        <f t="shared" si="25"/>
        <v>-</v>
      </c>
      <c r="AA93" s="21">
        <f t="shared" si="26"/>
        <v>0.36847999999999997</v>
      </c>
      <c r="AB93" s="21" t="str">
        <f t="shared" si="27"/>
        <v>-</v>
      </c>
    </row>
    <row r="94" spans="1:28" ht="16" customHeight="1" x14ac:dyDescent="0.2">
      <c r="A94" t="s">
        <v>28</v>
      </c>
      <c r="B94" t="s">
        <v>29</v>
      </c>
      <c r="C94" t="s">
        <v>225</v>
      </c>
      <c r="D94" t="s">
        <v>226</v>
      </c>
      <c r="E94" t="s">
        <v>32</v>
      </c>
      <c r="F94" t="s">
        <v>38</v>
      </c>
      <c r="G94" t="s">
        <v>34</v>
      </c>
      <c r="H94" s="15">
        <v>11200</v>
      </c>
      <c r="I94" s="15">
        <f t="shared" si="29"/>
        <v>1.9507819773298183</v>
      </c>
      <c r="J94" s="17">
        <v>1.1599999999999999</v>
      </c>
      <c r="K94" s="17">
        <v>529000</v>
      </c>
      <c r="L94" s="11" t="s">
        <v>35</v>
      </c>
      <c r="M94" s="11" t="s">
        <v>35</v>
      </c>
      <c r="N94" s="14">
        <v>65</v>
      </c>
      <c r="O94" s="11">
        <v>250.61</v>
      </c>
      <c r="P94" s="13">
        <v>11.369</v>
      </c>
      <c r="Q94" s="11">
        <f t="shared" si="17"/>
        <v>142.11250000000001</v>
      </c>
      <c r="R94" s="20">
        <f t="shared" si="18"/>
        <v>56.706635808626949</v>
      </c>
      <c r="S94" s="20">
        <f t="shared" si="19"/>
        <v>0.56706635808626948</v>
      </c>
      <c r="T94" s="15">
        <f t="shared" si="20"/>
        <v>6351.1432105662179</v>
      </c>
      <c r="U94" s="15">
        <f t="shared" si="21"/>
        <v>2.1971480943373805</v>
      </c>
      <c r="V94" s="21">
        <v>0.59799999999999998</v>
      </c>
      <c r="W94" s="20">
        <f t="shared" si="22"/>
        <v>4.6554085671563019</v>
      </c>
      <c r="X94" s="20">
        <f t="shared" si="23"/>
        <v>31.74</v>
      </c>
      <c r="Y94" s="21">
        <f t="shared" si="24"/>
        <v>0.13931991182000147</v>
      </c>
      <c r="Z94" s="21">
        <f t="shared" si="25"/>
        <v>0.61401468861056818</v>
      </c>
      <c r="AA94" s="21">
        <f t="shared" si="26"/>
        <v>1.17208</v>
      </c>
      <c r="AB94" s="21">
        <f t="shared" si="27"/>
        <v>1.2034687896767136</v>
      </c>
    </row>
    <row r="95" spans="1:28" ht="16" customHeight="1" x14ac:dyDescent="0.2">
      <c r="A95" t="s">
        <v>28</v>
      </c>
      <c r="B95" t="s">
        <v>29</v>
      </c>
      <c r="C95" t="s">
        <v>227</v>
      </c>
      <c r="D95" t="s">
        <v>228</v>
      </c>
      <c r="E95" t="s">
        <v>32</v>
      </c>
      <c r="F95" t="s">
        <v>33</v>
      </c>
      <c r="G95" t="s">
        <v>34</v>
      </c>
      <c r="H95" s="15">
        <v>29.4</v>
      </c>
      <c r="I95" s="15">
        <f t="shared" si="29"/>
        <v>4.5316526695878432</v>
      </c>
      <c r="J95" s="17">
        <v>0.72199999999999998</v>
      </c>
      <c r="K95" s="17">
        <v>362000</v>
      </c>
      <c r="L95" s="11" t="s">
        <v>35</v>
      </c>
      <c r="M95" s="11" t="s">
        <v>35</v>
      </c>
      <c r="N95" s="14">
        <v>65</v>
      </c>
      <c r="O95" s="11">
        <v>250.18</v>
      </c>
      <c r="P95" s="13">
        <v>21.797000000000001</v>
      </c>
      <c r="Q95" s="11">
        <f t="shared" si="17"/>
        <v>272.46250000000003</v>
      </c>
      <c r="R95" s="20">
        <f t="shared" si="18"/>
        <v>108.90658725717483</v>
      </c>
      <c r="S95" s="20">
        <f t="shared" si="19"/>
        <v>1.0890658725717484</v>
      </c>
      <c r="T95" s="15">
        <f t="shared" si="20"/>
        <v>32.018536653609402</v>
      </c>
      <c r="U95" s="15">
        <f t="shared" si="21"/>
        <v>4.4945985205674068</v>
      </c>
      <c r="V95" s="21">
        <v>0.247</v>
      </c>
      <c r="W95" s="20">
        <f t="shared" si="22"/>
        <v>2.8396302243427995</v>
      </c>
      <c r="X95" s="20">
        <f t="shared" si="23"/>
        <v>31.74</v>
      </c>
      <c r="Y95" s="21">
        <f t="shared" si="24"/>
        <v>0.13839562841200695</v>
      </c>
      <c r="Z95" s="21">
        <f t="shared" si="25"/>
        <v>0.28312956391651212</v>
      </c>
      <c r="AA95" s="21">
        <f t="shared" si="26"/>
        <v>0.48411999999999999</v>
      </c>
      <c r="AB95" s="21">
        <f t="shared" si="27"/>
        <v>0.55493394527636375</v>
      </c>
    </row>
    <row r="96" spans="1:28" ht="16" customHeight="1" x14ac:dyDescent="0.2">
      <c r="A96" t="s">
        <v>28</v>
      </c>
      <c r="B96" t="s">
        <v>29</v>
      </c>
      <c r="C96" t="s">
        <v>229</v>
      </c>
      <c r="D96" t="s">
        <v>230</v>
      </c>
      <c r="E96" t="s">
        <v>32</v>
      </c>
      <c r="F96" t="s">
        <v>38</v>
      </c>
      <c r="G96" t="s">
        <v>34</v>
      </c>
      <c r="H96" s="15">
        <v>84.6</v>
      </c>
      <c r="I96" s="15">
        <f t="shared" si="29"/>
        <v>4.0726296369609765</v>
      </c>
      <c r="J96" s="17">
        <v>1.21</v>
      </c>
      <c r="K96" s="17">
        <v>548000</v>
      </c>
      <c r="L96" s="11" t="s">
        <v>35</v>
      </c>
      <c r="M96" s="11" t="s">
        <v>35</v>
      </c>
      <c r="N96" s="14">
        <v>65</v>
      </c>
      <c r="O96" s="11">
        <v>250.13</v>
      </c>
      <c r="P96" s="13">
        <v>13.109</v>
      </c>
      <c r="Q96" s="11">
        <f t="shared" si="17"/>
        <v>163.86250000000001</v>
      </c>
      <c r="R96" s="20">
        <f t="shared" si="18"/>
        <v>65.510934314156643</v>
      </c>
      <c r="S96" s="20">
        <f t="shared" si="19"/>
        <v>0.65510934314156644</v>
      </c>
      <c r="T96" s="15">
        <f t="shared" si="20"/>
        <v>55.422250429776518</v>
      </c>
      <c r="U96" s="15">
        <f t="shared" si="21"/>
        <v>4.2563158435954529</v>
      </c>
      <c r="V96" s="21">
        <v>8.0500000000000002E-2</v>
      </c>
      <c r="W96" s="20">
        <f t="shared" si="22"/>
        <v>4.1516317034098709</v>
      </c>
      <c r="X96" s="20">
        <f t="shared" si="23"/>
        <v>31.74</v>
      </c>
      <c r="Y96" s="21">
        <f t="shared" si="24"/>
        <v>0.1390192609319256</v>
      </c>
      <c r="Z96" s="21">
        <f t="shared" si="25"/>
        <v>0.16064434291334012</v>
      </c>
      <c r="AA96" s="21">
        <f t="shared" si="26"/>
        <v>0.15778</v>
      </c>
      <c r="AB96" s="21">
        <f t="shared" si="27"/>
        <v>0.31486291211014661</v>
      </c>
    </row>
    <row r="97" spans="1:28" ht="16" customHeight="1" x14ac:dyDescent="0.2">
      <c r="A97" t="s">
        <v>28</v>
      </c>
      <c r="B97" t="s">
        <v>29</v>
      </c>
      <c r="C97" t="s">
        <v>231</v>
      </c>
      <c r="D97" t="s">
        <v>232</v>
      </c>
      <c r="E97" t="s">
        <v>32</v>
      </c>
      <c r="F97" t="s">
        <v>33</v>
      </c>
      <c r="G97" t="s">
        <v>34</v>
      </c>
      <c r="H97" s="15">
        <v>12.3</v>
      </c>
      <c r="I97" s="15">
        <f t="shared" si="29"/>
        <v>4.9100948885606019</v>
      </c>
      <c r="J97" s="17">
        <v>0.5</v>
      </c>
      <c r="K97" s="17">
        <v>312000</v>
      </c>
      <c r="L97" s="11" t="s">
        <v>35</v>
      </c>
      <c r="M97" s="11" t="s">
        <v>35</v>
      </c>
      <c r="N97" s="14">
        <v>65</v>
      </c>
      <c r="O97" s="11">
        <v>249.35</v>
      </c>
      <c r="P97" s="13">
        <v>12.625</v>
      </c>
      <c r="Q97" s="11">
        <f t="shared" si="17"/>
        <v>157.8125</v>
      </c>
      <c r="R97" s="20">
        <f t="shared" si="18"/>
        <v>63.289552837377187</v>
      </c>
      <c r="S97" s="20">
        <f t="shared" si="19"/>
        <v>0.63289552837377183</v>
      </c>
      <c r="T97" s="15">
        <f t="shared" si="20"/>
        <v>7.7846149989973936</v>
      </c>
      <c r="U97" s="15">
        <f t="shared" si="21"/>
        <v>5.1087628613162286</v>
      </c>
      <c r="V97" s="21">
        <v>0.10199999999999999</v>
      </c>
      <c r="W97" s="20">
        <f t="shared" si="22"/>
        <v>4.2778217821782176</v>
      </c>
      <c r="X97" s="20">
        <f t="shared" si="23"/>
        <v>31.74</v>
      </c>
      <c r="Y97" s="21">
        <f t="shared" si="24"/>
        <v>0.13909140084490054</v>
      </c>
      <c r="Z97" s="21">
        <f t="shared" si="25"/>
        <v>0.17248309421214822</v>
      </c>
      <c r="AA97" s="21">
        <f t="shared" si="26"/>
        <v>0.19991999999999999</v>
      </c>
      <c r="AB97" s="21">
        <f t="shared" si="27"/>
        <v>0.33806686465581048</v>
      </c>
    </row>
    <row r="98" spans="1:28" ht="16" customHeight="1" x14ac:dyDescent="0.2">
      <c r="A98" t="s">
        <v>28</v>
      </c>
      <c r="B98" t="s">
        <v>29</v>
      </c>
      <c r="C98" t="s">
        <v>233</v>
      </c>
      <c r="D98" t="s">
        <v>234</v>
      </c>
      <c r="E98" t="s">
        <v>32</v>
      </c>
      <c r="F98" t="s">
        <v>33</v>
      </c>
      <c r="G98" t="s">
        <v>34</v>
      </c>
      <c r="H98" s="15">
        <v>189</v>
      </c>
      <c r="I98" s="15">
        <f t="shared" si="29"/>
        <v>3.7235381958267557</v>
      </c>
      <c r="J98" s="17">
        <v>0.95</v>
      </c>
      <c r="K98" s="17">
        <v>448000</v>
      </c>
      <c r="L98" s="11" t="s">
        <v>35</v>
      </c>
      <c r="M98" s="11" t="s">
        <v>35</v>
      </c>
      <c r="N98" s="14">
        <v>65</v>
      </c>
      <c r="O98" s="11">
        <v>249.15</v>
      </c>
      <c r="P98" s="13">
        <v>7.008</v>
      </c>
      <c r="Q98" s="11">
        <f t="shared" si="17"/>
        <v>87.6</v>
      </c>
      <c r="R98" s="20">
        <f t="shared" si="18"/>
        <v>35.159542444310652</v>
      </c>
      <c r="S98" s="20">
        <f t="shared" si="19"/>
        <v>0.35159542444310654</v>
      </c>
      <c r="T98" s="15">
        <f t="shared" si="20"/>
        <v>66.451535219747143</v>
      </c>
      <c r="U98" s="15">
        <f t="shared" si="21"/>
        <v>4.1774949811657507</v>
      </c>
      <c r="V98" s="21">
        <v>0.30299999999999999</v>
      </c>
      <c r="W98" s="20">
        <f t="shared" si="22"/>
        <v>7.0172488584474886</v>
      </c>
      <c r="X98" s="20">
        <f t="shared" si="23"/>
        <v>31.74</v>
      </c>
      <c r="Y98" s="21">
        <f t="shared" si="24"/>
        <v>0.14117372462067176</v>
      </c>
      <c r="Z98" s="21">
        <f t="shared" si="25"/>
        <v>0.33427387053623153</v>
      </c>
      <c r="AA98" s="21">
        <f t="shared" si="26"/>
        <v>0.59387999999999996</v>
      </c>
      <c r="AB98" s="21">
        <f t="shared" si="27"/>
        <v>0.65517678625101383</v>
      </c>
    </row>
    <row r="99" spans="1:28" ht="16" customHeight="1" x14ac:dyDescent="0.2">
      <c r="A99" t="s">
        <v>28</v>
      </c>
      <c r="B99" t="s">
        <v>29</v>
      </c>
      <c r="C99" t="s">
        <v>235</v>
      </c>
      <c r="D99" t="s">
        <v>236</v>
      </c>
      <c r="E99" t="s">
        <v>32</v>
      </c>
      <c r="F99" t="s">
        <v>33</v>
      </c>
      <c r="G99" t="s">
        <v>34</v>
      </c>
      <c r="H99" s="15">
        <v>69.5</v>
      </c>
      <c r="I99" s="15">
        <f t="shared" si="29"/>
        <v>4.1580151954098863</v>
      </c>
      <c r="J99" s="17">
        <v>0.94399999999999995</v>
      </c>
      <c r="K99" s="17">
        <v>446000</v>
      </c>
      <c r="L99" s="11" t="s">
        <v>35</v>
      </c>
      <c r="M99" s="11" t="s">
        <v>35</v>
      </c>
      <c r="N99" s="14">
        <v>65</v>
      </c>
      <c r="O99" s="11">
        <v>250.41</v>
      </c>
      <c r="P99" s="13">
        <v>14.788</v>
      </c>
      <c r="Q99" s="11">
        <f t="shared" si="17"/>
        <v>184.85</v>
      </c>
      <c r="R99" s="20">
        <f t="shared" si="18"/>
        <v>73.818936943412808</v>
      </c>
      <c r="S99" s="20">
        <f t="shared" si="19"/>
        <v>0.73818936943412805</v>
      </c>
      <c r="T99" s="15">
        <f t="shared" si="20"/>
        <v>51.304161175671901</v>
      </c>
      <c r="U99" s="15">
        <f t="shared" si="21"/>
        <v>4.2898474087216654</v>
      </c>
      <c r="V99" s="21">
        <v>0.27</v>
      </c>
      <c r="W99" s="20">
        <f t="shared" si="22"/>
        <v>3.7779064106031917</v>
      </c>
      <c r="X99" s="20">
        <f t="shared" si="23"/>
        <v>31.74</v>
      </c>
      <c r="Y99" s="21">
        <f t="shared" si="24"/>
        <v>0.13881808390560318</v>
      </c>
      <c r="Z99" s="21">
        <f t="shared" si="25"/>
        <v>0.30359588340295901</v>
      </c>
      <c r="AA99" s="21">
        <f t="shared" si="26"/>
        <v>0.5292</v>
      </c>
      <c r="AB99" s="21">
        <f t="shared" si="27"/>
        <v>0.59504793146979962</v>
      </c>
    </row>
    <row r="100" spans="1:28" ht="16" customHeight="1" x14ac:dyDescent="0.2">
      <c r="A100" t="s">
        <v>28</v>
      </c>
      <c r="B100" t="s">
        <v>29</v>
      </c>
      <c r="C100" t="s">
        <v>237</v>
      </c>
      <c r="D100" t="s">
        <v>238</v>
      </c>
      <c r="E100" t="s">
        <v>32</v>
      </c>
      <c r="F100" t="s">
        <v>33</v>
      </c>
      <c r="G100" t="s">
        <v>34</v>
      </c>
      <c r="H100" s="15">
        <v>27.6</v>
      </c>
      <c r="I100" s="15">
        <f t="shared" si="29"/>
        <v>4.5590909179347827</v>
      </c>
      <c r="J100" s="17">
        <v>0.876</v>
      </c>
      <c r="K100" s="17">
        <v>421000</v>
      </c>
      <c r="L100" s="11" t="s">
        <v>35</v>
      </c>
      <c r="M100" s="11" t="s">
        <v>35</v>
      </c>
      <c r="N100" s="14">
        <v>65</v>
      </c>
      <c r="O100" s="11">
        <v>250.9</v>
      </c>
      <c r="P100" s="13">
        <v>2.407</v>
      </c>
      <c r="Q100" s="11">
        <f t="shared" si="17"/>
        <v>30.087499999999999</v>
      </c>
      <c r="R100" s="20">
        <f t="shared" si="18"/>
        <v>11.991829414109207</v>
      </c>
      <c r="S100" s="20">
        <f t="shared" si="19"/>
        <v>0.11991829414109206</v>
      </c>
      <c r="T100" s="15">
        <f t="shared" si="20"/>
        <v>3.309744918294141</v>
      </c>
      <c r="U100" s="15">
        <f t="shared" si="21"/>
        <v>5.4802054759663061</v>
      </c>
      <c r="V100" s="21">
        <v>0.158</v>
      </c>
      <c r="W100" s="20">
        <f t="shared" si="22"/>
        <v>18.78687993352721</v>
      </c>
      <c r="X100" s="20">
        <f t="shared" si="23"/>
        <v>31.74</v>
      </c>
      <c r="Y100" s="21">
        <f t="shared" si="24"/>
        <v>0.16018193875282083</v>
      </c>
      <c r="Z100" s="21">
        <f t="shared" si="25"/>
        <v>0.22499389658969071</v>
      </c>
      <c r="AA100" s="21">
        <f t="shared" si="26"/>
        <v>0.30968000000000001</v>
      </c>
      <c r="AB100" s="21">
        <f t="shared" si="27"/>
        <v>0.44098803731579378</v>
      </c>
    </row>
    <row r="101" spans="1:28" ht="16" customHeight="1" x14ac:dyDescent="0.2">
      <c r="A101" t="s">
        <v>28</v>
      </c>
      <c r="B101" t="s">
        <v>29</v>
      </c>
      <c r="C101" t="s">
        <v>239</v>
      </c>
      <c r="D101" t="s">
        <v>240</v>
      </c>
      <c r="E101" t="s">
        <v>32</v>
      </c>
      <c r="F101" t="s">
        <v>33</v>
      </c>
      <c r="G101" t="s">
        <v>34</v>
      </c>
      <c r="H101" s="15">
        <v>178</v>
      </c>
      <c r="I101" s="15">
        <f t="shared" si="29"/>
        <v>3.7495799976911059</v>
      </c>
      <c r="J101" s="17">
        <v>1.1299999999999999</v>
      </c>
      <c r="K101" s="17">
        <v>574000</v>
      </c>
      <c r="L101" s="11" t="s">
        <v>35</v>
      </c>
      <c r="M101" s="11" t="s">
        <v>35</v>
      </c>
      <c r="N101" s="14">
        <v>65</v>
      </c>
      <c r="O101" s="11">
        <v>250.6</v>
      </c>
      <c r="P101" s="13">
        <v>4.71</v>
      </c>
      <c r="Q101" s="11">
        <f t="shared" si="17"/>
        <v>58.875</v>
      </c>
      <c r="R101" s="20">
        <f t="shared" si="18"/>
        <v>23.493615323224262</v>
      </c>
      <c r="S101" s="20">
        <f t="shared" si="19"/>
        <v>0.23493615323224262</v>
      </c>
      <c r="T101" s="15">
        <f t="shared" si="20"/>
        <v>41.81863527533919</v>
      </c>
      <c r="U101" s="15">
        <f t="shared" si="21"/>
        <v>4.378630144212285</v>
      </c>
      <c r="V101" s="21">
        <v>0.29699999999999999</v>
      </c>
      <c r="W101" s="20">
        <f t="shared" si="22"/>
        <v>10.021358811040338</v>
      </c>
      <c r="X101" s="20">
        <f t="shared" si="23"/>
        <v>31.74</v>
      </c>
      <c r="Y101" s="21">
        <f t="shared" si="24"/>
        <v>0.14455257017080658</v>
      </c>
      <c r="Z101" s="21">
        <f t="shared" si="25"/>
        <v>0.33030962072423192</v>
      </c>
      <c r="AA101" s="21">
        <f t="shared" si="26"/>
        <v>0.58211999999999997</v>
      </c>
      <c r="AB101" s="21">
        <f t="shared" si="27"/>
        <v>0.6474068566194946</v>
      </c>
    </row>
    <row r="102" spans="1:28" ht="16" customHeight="1" x14ac:dyDescent="0.2">
      <c r="A102" t="s">
        <v>28</v>
      </c>
      <c r="B102" t="s">
        <v>29</v>
      </c>
      <c r="C102" t="s">
        <v>241</v>
      </c>
      <c r="D102" t="s">
        <v>242</v>
      </c>
      <c r="E102" t="s">
        <v>32</v>
      </c>
      <c r="F102" t="s">
        <v>33</v>
      </c>
      <c r="G102" t="s">
        <v>34</v>
      </c>
      <c r="H102" s="15">
        <v>31.4</v>
      </c>
      <c r="I102" s="15">
        <f t="shared" si="29"/>
        <v>4.5030703519267847</v>
      </c>
      <c r="J102" s="17">
        <v>0.49</v>
      </c>
      <c r="K102" s="17">
        <v>307000</v>
      </c>
      <c r="L102" s="11" t="s">
        <v>35</v>
      </c>
      <c r="M102" s="11" t="s">
        <v>35</v>
      </c>
      <c r="N102" s="14">
        <v>65</v>
      </c>
      <c r="O102" s="11">
        <v>249.77</v>
      </c>
      <c r="P102" s="13">
        <v>6.5430000000000001</v>
      </c>
      <c r="Q102" s="11">
        <f t="shared" si="17"/>
        <v>81.787500000000009</v>
      </c>
      <c r="R102" s="20">
        <f t="shared" si="18"/>
        <v>32.745125515474236</v>
      </c>
      <c r="S102" s="20">
        <f t="shared" si="19"/>
        <v>0.32745125515474238</v>
      </c>
      <c r="T102" s="15">
        <f t="shared" si="20"/>
        <v>10.28196941185891</v>
      </c>
      <c r="U102" s="15">
        <f t="shared" si="21"/>
        <v>4.9879236924628234</v>
      </c>
      <c r="V102" s="21">
        <v>9.2299999999999993E-2</v>
      </c>
      <c r="W102" s="20">
        <f t="shared" si="22"/>
        <v>7.4548341739263337</v>
      </c>
      <c r="X102" s="20">
        <f t="shared" si="23"/>
        <v>31.74</v>
      </c>
      <c r="Y102" s="21">
        <f t="shared" si="24"/>
        <v>0.14159612986288841</v>
      </c>
      <c r="Z102" s="21">
        <f t="shared" si="25"/>
        <v>0.16902293924833978</v>
      </c>
      <c r="AA102" s="21">
        <f t="shared" si="26"/>
        <v>0.18090799999999999</v>
      </c>
      <c r="AB102" s="21">
        <f t="shared" si="27"/>
        <v>0.33128496092674597</v>
      </c>
    </row>
    <row r="103" spans="1:28" ht="16" customHeight="1" x14ac:dyDescent="0.2">
      <c r="A103" t="s">
        <v>28</v>
      </c>
      <c r="B103" t="s">
        <v>29</v>
      </c>
      <c r="C103" t="s">
        <v>243</v>
      </c>
      <c r="D103" t="s">
        <v>244</v>
      </c>
      <c r="E103" t="s">
        <v>32</v>
      </c>
      <c r="F103" t="s">
        <v>38</v>
      </c>
      <c r="G103" t="s">
        <v>34</v>
      </c>
      <c r="H103" s="16" t="s">
        <v>67</v>
      </c>
      <c r="I103" s="16" t="s">
        <v>67</v>
      </c>
      <c r="J103" s="18" t="s">
        <v>67</v>
      </c>
      <c r="K103" s="18" t="s">
        <v>67</v>
      </c>
      <c r="L103" s="11" t="s">
        <v>35</v>
      </c>
      <c r="M103" s="11" t="s">
        <v>35</v>
      </c>
      <c r="N103" s="14">
        <v>65</v>
      </c>
      <c r="O103" s="11">
        <v>250.57</v>
      </c>
      <c r="P103" s="13">
        <v>13.894</v>
      </c>
      <c r="Q103" s="11">
        <f t="shared" si="17"/>
        <v>173.67500000000001</v>
      </c>
      <c r="R103" s="20">
        <f t="shared" si="18"/>
        <v>69.311968711338153</v>
      </c>
      <c r="S103" s="20">
        <f t="shared" si="19"/>
        <v>0.69311968711338157</v>
      </c>
      <c r="T103" s="15" t="str">
        <f t="shared" si="20"/>
        <v>no data</v>
      </c>
      <c r="U103" s="15" t="str">
        <f t="shared" si="21"/>
        <v>no data</v>
      </c>
      <c r="V103" s="22" t="s">
        <v>68</v>
      </c>
      <c r="W103" s="20">
        <f t="shared" si="22"/>
        <v>3.9656571181805091</v>
      </c>
      <c r="X103" s="20">
        <f t="shared" si="23"/>
        <v>31.74</v>
      </c>
      <c r="Y103" s="21">
        <f t="shared" si="24"/>
        <v>0.13891681651467583</v>
      </c>
      <c r="Z103" s="21" t="str">
        <f t="shared" si="25"/>
        <v>-</v>
      </c>
      <c r="AA103" s="21" t="str">
        <f t="shared" si="26"/>
        <v>-</v>
      </c>
      <c r="AB103" s="21" t="str">
        <f t="shared" si="27"/>
        <v>-</v>
      </c>
    </row>
    <row r="104" spans="1:28" ht="16" customHeight="1" x14ac:dyDescent="0.2">
      <c r="A104" t="s">
        <v>28</v>
      </c>
      <c r="B104" t="s">
        <v>29</v>
      </c>
      <c r="C104" t="s">
        <v>245</v>
      </c>
      <c r="D104" t="s">
        <v>246</v>
      </c>
      <c r="E104" t="s">
        <v>32</v>
      </c>
      <c r="F104" t="s">
        <v>33</v>
      </c>
      <c r="G104" t="s">
        <v>34</v>
      </c>
      <c r="H104" s="15">
        <v>11.4</v>
      </c>
      <c r="I104" s="15">
        <f>IF(H104=0, 0, -LOG10(H104*10^-6))</f>
        <v>4.9430951486635273</v>
      </c>
      <c r="J104" s="17">
        <v>0.60899999999999999</v>
      </c>
      <c r="K104" s="17">
        <v>357000</v>
      </c>
      <c r="L104" s="11" t="s">
        <v>247</v>
      </c>
      <c r="M104" s="11" t="s">
        <v>247</v>
      </c>
      <c r="N104" s="14">
        <v>20</v>
      </c>
      <c r="O104" s="11">
        <v>499.96</v>
      </c>
      <c r="P104" s="13">
        <v>3.54</v>
      </c>
      <c r="Q104" s="11">
        <f t="shared" si="17"/>
        <v>44.25</v>
      </c>
      <c r="R104" s="20">
        <f t="shared" si="18"/>
        <v>8.8507080566445318</v>
      </c>
      <c r="S104" s="20">
        <f t="shared" si="19"/>
        <v>8.8507080566445323E-2</v>
      </c>
      <c r="T104" s="15">
        <f t="shared" si="20"/>
        <v>1.0089807184574766</v>
      </c>
      <c r="U104" s="15">
        <f t="shared" si="21"/>
        <v>5.9961171330173331</v>
      </c>
      <c r="V104" s="21">
        <v>0.13600000000000001</v>
      </c>
      <c r="W104" s="20">
        <f t="shared" si="22"/>
        <v>13.049265536723162</v>
      </c>
      <c r="X104" s="20">
        <f t="shared" si="23"/>
        <v>31.74</v>
      </c>
      <c r="Y104" s="21">
        <f t="shared" si="24"/>
        <v>0.149040282237412</v>
      </c>
      <c r="Z104" s="21">
        <f t="shared" si="25"/>
        <v>0.20176472865545017</v>
      </c>
      <c r="AA104" s="21">
        <f t="shared" si="26"/>
        <v>0.26656000000000002</v>
      </c>
      <c r="AB104" s="21">
        <f t="shared" si="27"/>
        <v>0.39545886816468234</v>
      </c>
    </row>
    <row r="105" spans="1:28" ht="16" customHeight="1" x14ac:dyDescent="0.2">
      <c r="A105" t="s">
        <v>28</v>
      </c>
      <c r="B105" t="s">
        <v>29</v>
      </c>
      <c r="C105" t="s">
        <v>248</v>
      </c>
      <c r="D105" t="s">
        <v>249</v>
      </c>
      <c r="E105" t="s">
        <v>32</v>
      </c>
      <c r="F105" t="s">
        <v>33</v>
      </c>
      <c r="G105" t="s">
        <v>34</v>
      </c>
      <c r="H105" s="15">
        <v>8.42</v>
      </c>
      <c r="I105" s="15">
        <f>IF(H105=0, 0, -LOG10(H105*10^-6))</f>
        <v>5.0746879085003505</v>
      </c>
      <c r="J105" s="17">
        <v>0.754</v>
      </c>
      <c r="K105" s="17">
        <v>419000</v>
      </c>
      <c r="L105" s="11" t="s">
        <v>35</v>
      </c>
      <c r="M105" s="11" t="s">
        <v>55</v>
      </c>
      <c r="N105" s="14">
        <v>65</v>
      </c>
      <c r="O105" s="11">
        <v>250.17</v>
      </c>
      <c r="P105" s="23" t="s">
        <v>56</v>
      </c>
      <c r="Q105" s="11" t="str">
        <f t="shared" si="17"/>
        <v>-</v>
      </c>
      <c r="R105" s="24" t="str">
        <f t="shared" si="18"/>
        <v>-</v>
      </c>
      <c r="S105" s="20" t="str">
        <f t="shared" si="19"/>
        <v>-</v>
      </c>
      <c r="T105" s="15" t="str">
        <f t="shared" si="20"/>
        <v>-</v>
      </c>
      <c r="U105" s="15" t="str">
        <f t="shared" si="21"/>
        <v>-</v>
      </c>
      <c r="V105" s="21">
        <v>0.247</v>
      </c>
      <c r="W105" s="20" t="str">
        <f t="shared" si="22"/>
        <v>-</v>
      </c>
      <c r="X105" s="20" t="str">
        <f t="shared" si="23"/>
        <v>-</v>
      </c>
      <c r="Y105" s="21" t="str">
        <f t="shared" si="24"/>
        <v>-</v>
      </c>
      <c r="Z105" s="21" t="str">
        <f t="shared" si="25"/>
        <v>-</v>
      </c>
      <c r="AA105" s="21">
        <f t="shared" si="26"/>
        <v>0.48411999999999999</v>
      </c>
      <c r="AB105" s="21" t="str">
        <f t="shared" si="27"/>
        <v>-</v>
      </c>
    </row>
    <row r="106" spans="1:28" ht="16" customHeight="1" x14ac:dyDescent="0.2">
      <c r="A106" t="s">
        <v>28</v>
      </c>
      <c r="B106" t="s">
        <v>29</v>
      </c>
      <c r="C106" t="s">
        <v>250</v>
      </c>
      <c r="D106" t="s">
        <v>251</v>
      </c>
      <c r="E106" t="s">
        <v>32</v>
      </c>
      <c r="F106" t="s">
        <v>33</v>
      </c>
      <c r="G106" t="s">
        <v>34</v>
      </c>
      <c r="H106" s="15">
        <v>3.31</v>
      </c>
      <c r="I106" s="15">
        <f>IF(H106=0, 0, -LOG10(H106*10^-6))</f>
        <v>5.4801720062242811</v>
      </c>
      <c r="J106" s="17">
        <v>0.71299999999999997</v>
      </c>
      <c r="K106" s="17">
        <v>359000</v>
      </c>
      <c r="L106" s="11" t="s">
        <v>35</v>
      </c>
      <c r="M106" s="11" t="s">
        <v>35</v>
      </c>
      <c r="N106" s="14">
        <v>65</v>
      </c>
      <c r="O106" s="11">
        <v>250.67</v>
      </c>
      <c r="P106" s="13">
        <v>4.4710000000000001</v>
      </c>
      <c r="Q106" s="11">
        <f t="shared" si="17"/>
        <v>55.887500000000003</v>
      </c>
      <c r="R106" s="20">
        <f t="shared" si="18"/>
        <v>22.295248733394505</v>
      </c>
      <c r="S106" s="20">
        <f t="shared" si="19"/>
        <v>0.22295248733394504</v>
      </c>
      <c r="T106" s="15">
        <f t="shared" si="20"/>
        <v>0.73797273307535816</v>
      </c>
      <c r="U106" s="15">
        <f t="shared" si="21"/>
        <v>6.1319596843743529</v>
      </c>
      <c r="V106" s="21">
        <v>0.10100000000000001</v>
      </c>
      <c r="W106" s="20">
        <f t="shared" si="22"/>
        <v>10.511084768508162</v>
      </c>
      <c r="X106" s="20">
        <f t="shared" si="23"/>
        <v>31.74</v>
      </c>
      <c r="Y106" s="21">
        <f t="shared" si="24"/>
        <v>0.14520709248517</v>
      </c>
      <c r="Z106" s="21">
        <f t="shared" si="25"/>
        <v>0.17687877121915088</v>
      </c>
      <c r="AA106" s="21">
        <f t="shared" si="26"/>
        <v>0.19796</v>
      </c>
      <c r="AB106" s="21">
        <f t="shared" si="27"/>
        <v>0.34668239158953573</v>
      </c>
    </row>
    <row r="107" spans="1:28" ht="16" customHeight="1" x14ac:dyDescent="0.2">
      <c r="A107" t="s">
        <v>28</v>
      </c>
      <c r="B107" t="s">
        <v>29</v>
      </c>
      <c r="C107" t="s">
        <v>252</v>
      </c>
      <c r="D107" t="s">
        <v>253</v>
      </c>
      <c r="E107" t="s">
        <v>32</v>
      </c>
      <c r="F107" t="s">
        <v>38</v>
      </c>
      <c r="G107" t="s">
        <v>34</v>
      </c>
      <c r="H107" s="16" t="s">
        <v>67</v>
      </c>
      <c r="I107" s="16" t="s">
        <v>67</v>
      </c>
      <c r="J107" s="18" t="s">
        <v>67</v>
      </c>
      <c r="K107" s="18" t="s">
        <v>67</v>
      </c>
      <c r="L107" s="11" t="s">
        <v>35</v>
      </c>
      <c r="M107" s="11" t="s">
        <v>35</v>
      </c>
      <c r="N107" s="14">
        <v>65</v>
      </c>
      <c r="O107" s="11">
        <v>249.55</v>
      </c>
      <c r="P107" s="13">
        <v>12.955</v>
      </c>
      <c r="Q107" s="11">
        <f t="shared" si="17"/>
        <v>161.9375</v>
      </c>
      <c r="R107" s="20">
        <f t="shared" si="18"/>
        <v>64.891805249449007</v>
      </c>
      <c r="S107" s="20">
        <f t="shared" si="19"/>
        <v>0.64891805249449008</v>
      </c>
      <c r="T107" s="15" t="str">
        <f t="shared" si="20"/>
        <v>no data</v>
      </c>
      <c r="U107" s="15" t="str">
        <f t="shared" si="21"/>
        <v>no data</v>
      </c>
      <c r="V107" s="22" t="s">
        <v>68</v>
      </c>
      <c r="W107" s="20">
        <f t="shared" si="22"/>
        <v>4.1907603241991511</v>
      </c>
      <c r="X107" s="20">
        <f t="shared" si="23"/>
        <v>31.74</v>
      </c>
      <c r="Y107" s="21">
        <f t="shared" si="24"/>
        <v>0.13904140279710647</v>
      </c>
      <c r="Z107" s="21" t="str">
        <f t="shared" si="25"/>
        <v>-</v>
      </c>
      <c r="AA107" s="21" t="str">
        <f t="shared" si="26"/>
        <v>-</v>
      </c>
      <c r="AB107" s="21" t="str">
        <f t="shared" si="27"/>
        <v>-</v>
      </c>
    </row>
    <row r="108" spans="1:28" ht="16" customHeight="1" x14ac:dyDescent="0.2">
      <c r="A108" t="s">
        <v>28</v>
      </c>
      <c r="B108" t="s">
        <v>29</v>
      </c>
      <c r="C108" t="s">
        <v>254</v>
      </c>
      <c r="D108" t="s">
        <v>255</v>
      </c>
      <c r="E108" t="s">
        <v>32</v>
      </c>
      <c r="F108" t="s">
        <v>38</v>
      </c>
      <c r="G108" t="s">
        <v>34</v>
      </c>
      <c r="H108" s="15">
        <v>8.07</v>
      </c>
      <c r="I108" s="15">
        <f t="shared" ref="I108:I133" si="30">IF(H108=0, 0, -LOG10(H108*10^-6))</f>
        <v>5.0931264652779298</v>
      </c>
      <c r="J108" s="17">
        <v>0.96299999999999997</v>
      </c>
      <c r="K108" s="17">
        <v>454000</v>
      </c>
      <c r="L108" s="11" t="s">
        <v>35</v>
      </c>
      <c r="M108" s="11" t="s">
        <v>35</v>
      </c>
      <c r="N108" s="14">
        <v>65</v>
      </c>
      <c r="O108" s="11">
        <v>250.27</v>
      </c>
      <c r="P108" s="13">
        <v>18.504999999999999</v>
      </c>
      <c r="Q108" s="11">
        <f t="shared" si="17"/>
        <v>231.3125</v>
      </c>
      <c r="R108" s="20">
        <f t="shared" si="18"/>
        <v>92.425180804730886</v>
      </c>
      <c r="S108" s="20">
        <f t="shared" si="19"/>
        <v>0.92425180804730889</v>
      </c>
      <c r="T108" s="15">
        <f t="shared" si="20"/>
        <v>7.4587120909417832</v>
      </c>
      <c r="U108" s="15">
        <f t="shared" si="21"/>
        <v>5.1273361564529081</v>
      </c>
      <c r="V108" s="21">
        <v>0.27400000000000002</v>
      </c>
      <c r="W108" s="20">
        <f t="shared" si="22"/>
        <v>3.1918022156174004</v>
      </c>
      <c r="X108" s="20">
        <f t="shared" si="23"/>
        <v>31.74</v>
      </c>
      <c r="Y108" s="21">
        <f t="shared" si="24"/>
        <v>0.13854029379129371</v>
      </c>
      <c r="Z108" s="21">
        <f t="shared" si="25"/>
        <v>0.30703324413453664</v>
      </c>
      <c r="AA108" s="21">
        <f t="shared" si="26"/>
        <v>0.53704000000000007</v>
      </c>
      <c r="AB108" s="21">
        <f t="shared" si="27"/>
        <v>0.60178515850369185</v>
      </c>
    </row>
    <row r="109" spans="1:28" ht="16" customHeight="1" x14ac:dyDescent="0.2">
      <c r="A109" t="s">
        <v>28</v>
      </c>
      <c r="B109" t="s">
        <v>29</v>
      </c>
      <c r="C109" t="s">
        <v>256</v>
      </c>
      <c r="D109" t="s">
        <v>257</v>
      </c>
      <c r="E109" t="s">
        <v>32</v>
      </c>
      <c r="F109" t="s">
        <v>33</v>
      </c>
      <c r="G109" t="s">
        <v>34</v>
      </c>
      <c r="H109" s="15">
        <v>56.2</v>
      </c>
      <c r="I109" s="15">
        <f t="shared" si="30"/>
        <v>4.2502636844309389</v>
      </c>
      <c r="J109" s="17">
        <v>0.625</v>
      </c>
      <c r="K109" s="17">
        <v>365000</v>
      </c>
      <c r="L109" s="11" t="s">
        <v>35</v>
      </c>
      <c r="M109" s="11" t="s">
        <v>35</v>
      </c>
      <c r="N109" s="14">
        <v>65</v>
      </c>
      <c r="O109" s="11">
        <v>249.46</v>
      </c>
      <c r="P109" s="13">
        <v>13.093999999999999</v>
      </c>
      <c r="Q109" s="11">
        <f t="shared" si="17"/>
        <v>163.67499999999998</v>
      </c>
      <c r="R109" s="20">
        <f t="shared" si="18"/>
        <v>65.611721318046961</v>
      </c>
      <c r="S109" s="20">
        <f t="shared" si="19"/>
        <v>0.65611721318046956</v>
      </c>
      <c r="T109" s="15">
        <f t="shared" si="20"/>
        <v>36.873787380742392</v>
      </c>
      <c r="U109" s="15">
        <f t="shared" si="21"/>
        <v>4.4332822528446005</v>
      </c>
      <c r="V109" s="21">
        <v>0.224</v>
      </c>
      <c r="W109" s="20">
        <f t="shared" si="22"/>
        <v>4.1554024744157632</v>
      </c>
      <c r="X109" s="20">
        <f t="shared" si="23"/>
        <v>31.74</v>
      </c>
      <c r="Y109" s="21">
        <f t="shared" si="24"/>
        <v>0.1390213858221028</v>
      </c>
      <c r="Z109" s="21">
        <f t="shared" si="25"/>
        <v>0.26363411333872927</v>
      </c>
      <c r="AA109" s="21">
        <f t="shared" si="26"/>
        <v>0.43903999999999999</v>
      </c>
      <c r="AB109" s="21">
        <f t="shared" si="27"/>
        <v>0.51672286214390939</v>
      </c>
    </row>
    <row r="110" spans="1:28" ht="16" customHeight="1" x14ac:dyDescent="0.2">
      <c r="A110" t="s">
        <v>28</v>
      </c>
      <c r="B110" t="s">
        <v>29</v>
      </c>
      <c r="C110" t="s">
        <v>258</v>
      </c>
      <c r="D110" t="s">
        <v>259</v>
      </c>
      <c r="E110" t="s">
        <v>32</v>
      </c>
      <c r="F110" t="s">
        <v>33</v>
      </c>
      <c r="G110" t="s">
        <v>34</v>
      </c>
      <c r="H110" s="15">
        <v>111</v>
      </c>
      <c r="I110" s="15">
        <f t="shared" si="30"/>
        <v>3.9546770212133424</v>
      </c>
      <c r="J110" s="17">
        <v>0.876</v>
      </c>
      <c r="K110" s="17">
        <v>420000</v>
      </c>
      <c r="L110" s="11" t="s">
        <v>35</v>
      </c>
      <c r="M110" s="11" t="s">
        <v>35</v>
      </c>
      <c r="N110" s="14">
        <v>65</v>
      </c>
      <c r="O110" s="11">
        <v>249.34</v>
      </c>
      <c r="P110" s="13">
        <v>9.2859999999999996</v>
      </c>
      <c r="Q110" s="11">
        <f t="shared" si="17"/>
        <v>116.07499999999999</v>
      </c>
      <c r="R110" s="20">
        <f t="shared" si="18"/>
        <v>46.552899655089433</v>
      </c>
      <c r="S110" s="20">
        <f t="shared" si="19"/>
        <v>0.46552899655089436</v>
      </c>
      <c r="T110" s="15">
        <f t="shared" si="20"/>
        <v>51.673718617149277</v>
      </c>
      <c r="U110" s="15">
        <f t="shared" si="21"/>
        <v>4.2867302840166124</v>
      </c>
      <c r="V110" s="21">
        <v>0.28899999999999998</v>
      </c>
      <c r="W110" s="20">
        <f t="shared" si="22"/>
        <v>5.5067800990738753</v>
      </c>
      <c r="X110" s="20">
        <f t="shared" si="23"/>
        <v>31.74</v>
      </c>
      <c r="Y110" s="21">
        <f t="shared" si="24"/>
        <v>0.13990432753252649</v>
      </c>
      <c r="Z110" s="21">
        <f t="shared" si="25"/>
        <v>0.32108288783790462</v>
      </c>
      <c r="AA110" s="21">
        <f t="shared" si="26"/>
        <v>0.56643999999999994</v>
      </c>
      <c r="AB110" s="21">
        <f t="shared" si="27"/>
        <v>0.62932246016229298</v>
      </c>
    </row>
    <row r="111" spans="1:28" ht="16" customHeight="1" x14ac:dyDescent="0.2">
      <c r="A111" t="s">
        <v>28</v>
      </c>
      <c r="B111" t="s">
        <v>29</v>
      </c>
      <c r="C111" t="s">
        <v>260</v>
      </c>
      <c r="D111" t="s">
        <v>261</v>
      </c>
      <c r="E111" t="s">
        <v>32</v>
      </c>
      <c r="F111" t="s">
        <v>33</v>
      </c>
      <c r="G111" t="s">
        <v>34</v>
      </c>
      <c r="H111" s="15">
        <v>8.36</v>
      </c>
      <c r="I111" s="15">
        <f t="shared" si="30"/>
        <v>5.0777937225609833</v>
      </c>
      <c r="J111" s="17">
        <v>1.02</v>
      </c>
      <c r="K111" s="17">
        <v>535000</v>
      </c>
      <c r="L111" s="11" t="s">
        <v>35</v>
      </c>
      <c r="M111" s="11" t="s">
        <v>35</v>
      </c>
      <c r="N111" s="14">
        <v>65</v>
      </c>
      <c r="O111" s="11">
        <v>250.28</v>
      </c>
      <c r="P111" s="13">
        <v>18.741</v>
      </c>
      <c r="Q111" s="11">
        <f t="shared" si="17"/>
        <v>234.26249999999999</v>
      </c>
      <c r="R111" s="20">
        <f t="shared" si="18"/>
        <v>93.600167812050501</v>
      </c>
      <c r="S111" s="20">
        <f t="shared" si="19"/>
        <v>0.93600167812050505</v>
      </c>
      <c r="T111" s="15">
        <f t="shared" si="20"/>
        <v>7.8249740290874215</v>
      </c>
      <c r="U111" s="15">
        <f t="shared" si="21"/>
        <v>5.1065170951927268</v>
      </c>
      <c r="V111" s="21">
        <v>0.105</v>
      </c>
      <c r="W111" s="20">
        <f t="shared" si="22"/>
        <v>3.1624385038151646</v>
      </c>
      <c r="X111" s="20">
        <f t="shared" si="23"/>
        <v>31.74</v>
      </c>
      <c r="Y111" s="21">
        <f t="shared" si="24"/>
        <v>0.13852759223177327</v>
      </c>
      <c r="Z111" s="21">
        <f t="shared" si="25"/>
        <v>0.17382431880934396</v>
      </c>
      <c r="AA111" s="21">
        <f t="shared" si="26"/>
        <v>0.20579999999999998</v>
      </c>
      <c r="AB111" s="21">
        <f t="shared" si="27"/>
        <v>0.34069566486631414</v>
      </c>
    </row>
    <row r="112" spans="1:28" ht="16" customHeight="1" x14ac:dyDescent="0.2">
      <c r="A112" t="s">
        <v>28</v>
      </c>
      <c r="B112" t="s">
        <v>29</v>
      </c>
      <c r="C112" t="s">
        <v>262</v>
      </c>
      <c r="D112" t="s">
        <v>263</v>
      </c>
      <c r="E112" t="s">
        <v>32</v>
      </c>
      <c r="F112" t="s">
        <v>33</v>
      </c>
      <c r="G112" t="s">
        <v>34</v>
      </c>
      <c r="H112" s="15">
        <v>1700</v>
      </c>
      <c r="I112" s="15">
        <f t="shared" si="30"/>
        <v>2.7695510786217259</v>
      </c>
      <c r="J112" s="17">
        <v>1.41</v>
      </c>
      <c r="K112" s="17">
        <v>688000</v>
      </c>
      <c r="L112" s="11" t="s">
        <v>35</v>
      </c>
      <c r="M112" s="11" t="s">
        <v>35</v>
      </c>
      <c r="N112" s="14">
        <v>65</v>
      </c>
      <c r="O112" s="11">
        <v>250.28</v>
      </c>
      <c r="P112" s="13">
        <v>2.3170000000000002</v>
      </c>
      <c r="Q112" s="11">
        <f t="shared" si="17"/>
        <v>28.962500000000002</v>
      </c>
      <c r="R112" s="20">
        <f t="shared" si="18"/>
        <v>11.572039315966119</v>
      </c>
      <c r="S112" s="20">
        <f t="shared" si="19"/>
        <v>0.11572039315966119</v>
      </c>
      <c r="T112" s="15">
        <f t="shared" si="20"/>
        <v>196.72466837142403</v>
      </c>
      <c r="U112" s="15">
        <f t="shared" si="21"/>
        <v>3.7061411781291778</v>
      </c>
      <c r="V112" s="21">
        <v>0.47099999999999997</v>
      </c>
      <c r="W112" s="20">
        <f t="shared" si="22"/>
        <v>19.483219680621492</v>
      </c>
      <c r="X112" s="20">
        <f t="shared" si="23"/>
        <v>31.74</v>
      </c>
      <c r="Y112" s="21">
        <f t="shared" si="24"/>
        <v>0.16174326772204711</v>
      </c>
      <c r="Z112" s="21">
        <f t="shared" si="25"/>
        <v>0.4979978761535091</v>
      </c>
      <c r="AA112" s="21">
        <f t="shared" si="26"/>
        <v>0.92315999999999998</v>
      </c>
      <c r="AB112" s="21">
        <f t="shared" si="27"/>
        <v>0.97607583726087777</v>
      </c>
    </row>
    <row r="113" spans="1:28" ht="16" customHeight="1" x14ac:dyDescent="0.2">
      <c r="A113" t="s">
        <v>28</v>
      </c>
      <c r="B113" t="s">
        <v>29</v>
      </c>
      <c r="C113" t="s">
        <v>264</v>
      </c>
      <c r="D113" t="s">
        <v>265</v>
      </c>
      <c r="E113" t="s">
        <v>32</v>
      </c>
      <c r="F113" t="s">
        <v>33</v>
      </c>
      <c r="G113" t="s">
        <v>34</v>
      </c>
      <c r="H113" s="15">
        <v>117</v>
      </c>
      <c r="I113" s="15">
        <f t="shared" si="30"/>
        <v>3.9318141382538383</v>
      </c>
      <c r="J113" s="17">
        <v>1.01</v>
      </c>
      <c r="K113" s="17">
        <v>528000</v>
      </c>
      <c r="L113" s="11" t="s">
        <v>35</v>
      </c>
      <c r="M113" s="11" t="s">
        <v>81</v>
      </c>
      <c r="N113" s="14">
        <v>65</v>
      </c>
      <c r="O113" s="11">
        <v>251.01</v>
      </c>
      <c r="P113" s="23" t="s">
        <v>82</v>
      </c>
      <c r="Q113" s="11" t="str">
        <f t="shared" si="17"/>
        <v>-</v>
      </c>
      <c r="R113" s="24" t="str">
        <f t="shared" si="18"/>
        <v>-</v>
      </c>
      <c r="S113" s="20" t="str">
        <f t="shared" si="19"/>
        <v>-</v>
      </c>
      <c r="T113" s="15" t="str">
        <f t="shared" si="20"/>
        <v>-</v>
      </c>
      <c r="U113" s="15" t="str">
        <f t="shared" si="21"/>
        <v>-</v>
      </c>
      <c r="V113" s="21">
        <v>0.23499999999999999</v>
      </c>
      <c r="W113" s="20" t="str">
        <f t="shared" si="22"/>
        <v>-</v>
      </c>
      <c r="X113" s="20" t="str">
        <f t="shared" si="23"/>
        <v>-</v>
      </c>
      <c r="Y113" s="21" t="str">
        <f t="shared" si="24"/>
        <v>-</v>
      </c>
      <c r="Z113" s="21" t="str">
        <f t="shared" si="25"/>
        <v>-</v>
      </c>
      <c r="AA113" s="21">
        <f t="shared" si="26"/>
        <v>0.46059999999999995</v>
      </c>
      <c r="AB113" s="21" t="str">
        <f t="shared" si="27"/>
        <v>-</v>
      </c>
    </row>
    <row r="114" spans="1:28" ht="16" customHeight="1" x14ac:dyDescent="0.2">
      <c r="A114" t="s">
        <v>28</v>
      </c>
      <c r="B114" t="s">
        <v>29</v>
      </c>
      <c r="C114" t="s">
        <v>266</v>
      </c>
      <c r="D114" t="s">
        <v>267</v>
      </c>
      <c r="E114" t="s">
        <v>32</v>
      </c>
      <c r="F114" t="s">
        <v>33</v>
      </c>
      <c r="G114" t="s">
        <v>34</v>
      </c>
      <c r="H114" s="15">
        <v>126</v>
      </c>
      <c r="I114" s="15">
        <f t="shared" si="30"/>
        <v>3.8996294548824371</v>
      </c>
      <c r="J114" s="17">
        <v>0.84899999999999998</v>
      </c>
      <c r="K114" s="17">
        <v>460000</v>
      </c>
      <c r="L114" s="11" t="s">
        <v>247</v>
      </c>
      <c r="M114" s="11" t="s">
        <v>247</v>
      </c>
      <c r="N114" s="14">
        <v>20</v>
      </c>
      <c r="O114" s="11">
        <v>500.88</v>
      </c>
      <c r="P114" s="13">
        <v>1.81</v>
      </c>
      <c r="Q114" s="11">
        <f t="shared" si="17"/>
        <v>22.625</v>
      </c>
      <c r="R114" s="20">
        <f t="shared" si="18"/>
        <v>4.517049992014055</v>
      </c>
      <c r="S114" s="20">
        <f t="shared" si="19"/>
        <v>4.517049992014055E-2</v>
      </c>
      <c r="T114" s="15">
        <f t="shared" si="20"/>
        <v>5.6914829899377093</v>
      </c>
      <c r="U114" s="15">
        <f t="shared" si="21"/>
        <v>5.2447745577822564</v>
      </c>
      <c r="V114" s="21">
        <v>0.28799999999999998</v>
      </c>
      <c r="W114" s="20">
        <f t="shared" si="22"/>
        <v>24.69977900552486</v>
      </c>
      <c r="X114" s="20">
        <f t="shared" si="23"/>
        <v>31.74</v>
      </c>
      <c r="Y114" s="21">
        <f t="shared" si="24"/>
        <v>0.17466558916784405</v>
      </c>
      <c r="Z114" s="21">
        <f t="shared" si="25"/>
        <v>0.3368264657644201</v>
      </c>
      <c r="AA114" s="21">
        <f t="shared" si="26"/>
        <v>0.56447999999999998</v>
      </c>
      <c r="AB114" s="21">
        <f t="shared" si="27"/>
        <v>0.66017987289826341</v>
      </c>
    </row>
    <row r="115" spans="1:28" ht="16" customHeight="1" x14ac:dyDescent="0.2">
      <c r="A115" t="s">
        <v>28</v>
      </c>
      <c r="B115" t="s">
        <v>29</v>
      </c>
      <c r="C115" t="s">
        <v>268</v>
      </c>
      <c r="D115" t="s">
        <v>269</v>
      </c>
      <c r="E115" t="s">
        <v>32</v>
      </c>
      <c r="F115" t="s">
        <v>33</v>
      </c>
      <c r="G115" t="s">
        <v>34</v>
      </c>
      <c r="H115" s="15">
        <v>326</v>
      </c>
      <c r="I115" s="15">
        <f t="shared" si="30"/>
        <v>3.4867823999320611</v>
      </c>
      <c r="J115" s="17">
        <v>1.1000000000000001</v>
      </c>
      <c r="K115" s="17">
        <v>568000</v>
      </c>
      <c r="L115" s="11" t="s">
        <v>35</v>
      </c>
      <c r="M115" s="11" t="s">
        <v>35</v>
      </c>
      <c r="N115" s="14">
        <v>65</v>
      </c>
      <c r="O115" s="11">
        <v>250.61</v>
      </c>
      <c r="P115" s="13">
        <v>13.715</v>
      </c>
      <c r="Q115" s="11">
        <f t="shared" si="17"/>
        <v>171.4375</v>
      </c>
      <c r="R115" s="20">
        <f t="shared" si="18"/>
        <v>68.408084274370523</v>
      </c>
      <c r="S115" s="20">
        <f t="shared" si="19"/>
        <v>0.68408084274370529</v>
      </c>
      <c r="T115" s="15">
        <f t="shared" si="20"/>
        <v>223.01035473444793</v>
      </c>
      <c r="U115" s="15">
        <f t="shared" si="21"/>
        <v>3.6516749714826506</v>
      </c>
      <c r="V115" s="21">
        <v>0.28799999999999998</v>
      </c>
      <c r="W115" s="20">
        <f t="shared" si="22"/>
        <v>4.0061903025884069</v>
      </c>
      <c r="X115" s="20">
        <f t="shared" si="23"/>
        <v>31.74</v>
      </c>
      <c r="Y115" s="21">
        <f t="shared" si="24"/>
        <v>0.13893875058453062</v>
      </c>
      <c r="Z115" s="21">
        <f t="shared" si="25"/>
        <v>0.31976237491923654</v>
      </c>
      <c r="AA115" s="21">
        <f t="shared" si="26"/>
        <v>0.56447999999999998</v>
      </c>
      <c r="AB115" s="21">
        <f t="shared" si="27"/>
        <v>0.62673425484170364</v>
      </c>
    </row>
    <row r="116" spans="1:28" ht="16" customHeight="1" x14ac:dyDescent="0.2">
      <c r="A116" t="s">
        <v>28</v>
      </c>
      <c r="B116" t="s">
        <v>29</v>
      </c>
      <c r="C116" t="s">
        <v>270</v>
      </c>
      <c r="D116" t="s">
        <v>271</v>
      </c>
      <c r="E116" t="s">
        <v>32</v>
      </c>
      <c r="F116" t="s">
        <v>33</v>
      </c>
      <c r="G116" t="s">
        <v>34</v>
      </c>
      <c r="H116" s="15">
        <v>208</v>
      </c>
      <c r="I116" s="15">
        <f t="shared" si="30"/>
        <v>3.6819366650372385</v>
      </c>
      <c r="J116" s="17">
        <v>1.1200000000000001</v>
      </c>
      <c r="K116" s="17">
        <v>515000</v>
      </c>
      <c r="L116" s="11" t="s">
        <v>35</v>
      </c>
      <c r="M116" s="11" t="s">
        <v>35</v>
      </c>
      <c r="N116" s="14">
        <v>65</v>
      </c>
      <c r="O116" s="11">
        <v>250.55</v>
      </c>
      <c r="P116" s="13">
        <v>6.9260000000000002</v>
      </c>
      <c r="Q116" s="11">
        <f t="shared" si="17"/>
        <v>86.575000000000003</v>
      </c>
      <c r="R116" s="20">
        <f t="shared" si="18"/>
        <v>34.553981241269206</v>
      </c>
      <c r="S116" s="20">
        <f t="shared" si="19"/>
        <v>0.34553981241269205</v>
      </c>
      <c r="T116" s="15">
        <f t="shared" si="20"/>
        <v>71.87228098183995</v>
      </c>
      <c r="U116" s="15">
        <f t="shared" si="21"/>
        <v>4.1434385718942357</v>
      </c>
      <c r="V116" s="21">
        <v>0.255</v>
      </c>
      <c r="W116" s="20">
        <f t="shared" si="22"/>
        <v>7.0901472711521798</v>
      </c>
      <c r="X116" s="20">
        <f t="shared" si="23"/>
        <v>31.74</v>
      </c>
      <c r="Y116" s="21">
        <f t="shared" si="24"/>
        <v>0.1412424067982827</v>
      </c>
      <c r="Z116" s="21">
        <f t="shared" si="25"/>
        <v>0.2915037177776153</v>
      </c>
      <c r="AA116" s="21">
        <f t="shared" si="26"/>
        <v>0.49980000000000002</v>
      </c>
      <c r="AB116" s="21">
        <f t="shared" si="27"/>
        <v>0.57134728684412595</v>
      </c>
    </row>
    <row r="117" spans="1:28" ht="16" customHeight="1" x14ac:dyDescent="0.2">
      <c r="A117" t="s">
        <v>28</v>
      </c>
      <c r="B117" t="s">
        <v>29</v>
      </c>
      <c r="C117" t="s">
        <v>272</v>
      </c>
      <c r="D117" t="s">
        <v>273</v>
      </c>
      <c r="E117" t="s">
        <v>32</v>
      </c>
      <c r="F117" t="s">
        <v>33</v>
      </c>
      <c r="G117" t="s">
        <v>34</v>
      </c>
      <c r="H117" s="15">
        <v>3.31</v>
      </c>
      <c r="I117" s="15">
        <f t="shared" si="30"/>
        <v>5.4801720062242811</v>
      </c>
      <c r="J117" s="17">
        <v>0.47899999999999998</v>
      </c>
      <c r="K117" s="17">
        <v>270000</v>
      </c>
      <c r="L117" s="11" t="s">
        <v>35</v>
      </c>
      <c r="M117" s="11" t="s">
        <v>35</v>
      </c>
      <c r="N117" s="14">
        <v>65</v>
      </c>
      <c r="O117" s="11">
        <v>249.76</v>
      </c>
      <c r="P117" s="13">
        <v>6.0250000000000004</v>
      </c>
      <c r="Q117" s="11">
        <f t="shared" si="17"/>
        <v>75.3125</v>
      </c>
      <c r="R117" s="20">
        <f t="shared" si="18"/>
        <v>30.153947789878284</v>
      </c>
      <c r="S117" s="20">
        <f t="shared" si="19"/>
        <v>0.30153947789878283</v>
      </c>
      <c r="T117" s="15">
        <f t="shared" si="20"/>
        <v>0.99809567184497117</v>
      </c>
      <c r="U117" s="15">
        <f t="shared" si="21"/>
        <v>6.0008278276876608</v>
      </c>
      <c r="V117" s="21">
        <v>4.9099999999999998E-2</v>
      </c>
      <c r="W117" s="20">
        <f t="shared" si="22"/>
        <v>8.0218257261410777</v>
      </c>
      <c r="X117" s="20">
        <f t="shared" si="23"/>
        <v>31.74</v>
      </c>
      <c r="Y117" s="21">
        <f t="shared" si="24"/>
        <v>0.14217937019994223</v>
      </c>
      <c r="Z117" s="21">
        <f t="shared" si="25"/>
        <v>0.15041869335442393</v>
      </c>
      <c r="AA117" s="21">
        <f t="shared" si="26"/>
        <v>9.6235999999999988E-2</v>
      </c>
      <c r="AB117" s="21">
        <f t="shared" si="27"/>
        <v>0.29482063897467087</v>
      </c>
    </row>
    <row r="118" spans="1:28" ht="16" customHeight="1" x14ac:dyDescent="0.2">
      <c r="A118" t="s">
        <v>28</v>
      </c>
      <c r="B118" t="s">
        <v>29</v>
      </c>
      <c r="C118" t="s">
        <v>274</v>
      </c>
      <c r="D118" t="s">
        <v>275</v>
      </c>
      <c r="E118" t="s">
        <v>32</v>
      </c>
      <c r="F118" t="s">
        <v>33</v>
      </c>
      <c r="G118" t="s">
        <v>34</v>
      </c>
      <c r="H118" s="15">
        <v>17.899999999999999</v>
      </c>
      <c r="I118" s="15">
        <f t="shared" si="30"/>
        <v>4.7471469690201067</v>
      </c>
      <c r="J118" s="17">
        <v>0.57899999999999996</v>
      </c>
      <c r="K118" s="17">
        <v>308000</v>
      </c>
      <c r="L118" s="11" t="s">
        <v>35</v>
      </c>
      <c r="M118" s="11" t="s">
        <v>35</v>
      </c>
      <c r="N118" s="14">
        <v>65</v>
      </c>
      <c r="O118" s="11">
        <v>249.8</v>
      </c>
      <c r="P118" s="13">
        <v>2.92</v>
      </c>
      <c r="Q118" s="11">
        <f t="shared" si="17"/>
        <v>36.5</v>
      </c>
      <c r="R118" s="20">
        <f t="shared" si="18"/>
        <v>14.611689351481182</v>
      </c>
      <c r="S118" s="20">
        <f t="shared" si="19"/>
        <v>0.14611689351481183</v>
      </c>
      <c r="T118" s="15">
        <f t="shared" si="20"/>
        <v>2.6154923939151313</v>
      </c>
      <c r="U118" s="15">
        <f t="shared" si="21"/>
        <v>5.582446538601749</v>
      </c>
      <c r="V118" s="21">
        <v>0.185</v>
      </c>
      <c r="W118" s="20">
        <f t="shared" si="22"/>
        <v>15.637397260273971</v>
      </c>
      <c r="X118" s="20">
        <f t="shared" si="23"/>
        <v>31.74</v>
      </c>
      <c r="Y118" s="21">
        <f t="shared" si="24"/>
        <v>0.15366636154849062</v>
      </c>
      <c r="Z118" s="21">
        <f t="shared" si="25"/>
        <v>0.24049605125978979</v>
      </c>
      <c r="AA118" s="21">
        <f t="shared" si="26"/>
        <v>0.36259999999999998</v>
      </c>
      <c r="AB118" s="21">
        <f t="shared" si="27"/>
        <v>0.47137226046918795</v>
      </c>
    </row>
    <row r="119" spans="1:28" ht="16" customHeight="1" x14ac:dyDescent="0.2">
      <c r="A119" t="s">
        <v>28</v>
      </c>
      <c r="B119" t="s">
        <v>29</v>
      </c>
      <c r="C119" t="s">
        <v>276</v>
      </c>
      <c r="D119" t="s">
        <v>277</v>
      </c>
      <c r="E119" t="s">
        <v>32</v>
      </c>
      <c r="F119" t="s">
        <v>33</v>
      </c>
      <c r="G119" t="s">
        <v>34</v>
      </c>
      <c r="H119" s="15">
        <v>17</v>
      </c>
      <c r="I119" s="15">
        <f t="shared" si="30"/>
        <v>4.7695510786217259</v>
      </c>
      <c r="J119" s="17">
        <v>0.58699999999999997</v>
      </c>
      <c r="K119" s="17">
        <v>348000</v>
      </c>
      <c r="L119" s="11" t="s">
        <v>35</v>
      </c>
      <c r="M119" s="11" t="s">
        <v>35</v>
      </c>
      <c r="N119" s="14">
        <v>65</v>
      </c>
      <c r="O119" s="11">
        <v>249.84</v>
      </c>
      <c r="P119" s="13">
        <v>17.140999999999998</v>
      </c>
      <c r="Q119" s="11">
        <f t="shared" si="17"/>
        <v>214.26249999999999</v>
      </c>
      <c r="R119" s="20">
        <f t="shared" si="18"/>
        <v>85.759886327249433</v>
      </c>
      <c r="S119" s="20">
        <f t="shared" si="19"/>
        <v>0.85759886327249435</v>
      </c>
      <c r="T119" s="15">
        <f t="shared" si="20"/>
        <v>14.579180675632404</v>
      </c>
      <c r="U119" s="15">
        <f t="shared" si="21"/>
        <v>4.8362668819199648</v>
      </c>
      <c r="V119" s="21">
        <v>0.11799999999999999</v>
      </c>
      <c r="W119" s="20">
        <f t="shared" si="22"/>
        <v>3.3773560469050814</v>
      </c>
      <c r="X119" s="20">
        <f t="shared" si="23"/>
        <v>31.74</v>
      </c>
      <c r="Y119" s="21">
        <f t="shared" si="24"/>
        <v>0.13862324298692461</v>
      </c>
      <c r="Z119" s="21">
        <f t="shared" si="25"/>
        <v>0.1820450589722554</v>
      </c>
      <c r="AA119" s="21">
        <f t="shared" si="26"/>
        <v>0.23127999999999999</v>
      </c>
      <c r="AB119" s="21">
        <f t="shared" si="27"/>
        <v>0.35680831558562059</v>
      </c>
    </row>
    <row r="120" spans="1:28" ht="16" customHeight="1" x14ac:dyDescent="0.2">
      <c r="A120" t="s">
        <v>28</v>
      </c>
      <c r="B120" t="s">
        <v>29</v>
      </c>
      <c r="C120" t="s">
        <v>278</v>
      </c>
      <c r="D120" t="s">
        <v>279</v>
      </c>
      <c r="E120" t="s">
        <v>32</v>
      </c>
      <c r="F120" t="s">
        <v>33</v>
      </c>
      <c r="G120" t="s">
        <v>34</v>
      </c>
      <c r="H120" s="15">
        <v>102</v>
      </c>
      <c r="I120" s="15">
        <f t="shared" si="30"/>
        <v>3.9913998282380825</v>
      </c>
      <c r="J120" s="17">
        <v>0.92300000000000004</v>
      </c>
      <c r="K120" s="17">
        <v>492000</v>
      </c>
      <c r="L120" s="11" t="s">
        <v>35</v>
      </c>
      <c r="M120" s="11" t="s">
        <v>35</v>
      </c>
      <c r="N120" s="14">
        <v>65</v>
      </c>
      <c r="O120" s="11">
        <v>250.2</v>
      </c>
      <c r="P120" s="13">
        <v>17.053999999999998</v>
      </c>
      <c r="Q120" s="11">
        <f t="shared" si="17"/>
        <v>213.17499999999998</v>
      </c>
      <c r="R120" s="20">
        <f t="shared" si="18"/>
        <v>85.201838529176655</v>
      </c>
      <c r="S120" s="20">
        <f t="shared" si="19"/>
        <v>0.85201838529176654</v>
      </c>
      <c r="T120" s="15">
        <f t="shared" si="20"/>
        <v>86.905875299760183</v>
      </c>
      <c r="U120" s="15">
        <f t="shared" si="21"/>
        <v>4.060950861940146</v>
      </c>
      <c r="V120" s="21">
        <v>0.29199999999999998</v>
      </c>
      <c r="W120" s="20">
        <f t="shared" si="22"/>
        <v>3.3901981939720889</v>
      </c>
      <c r="X120" s="20">
        <f t="shared" si="23"/>
        <v>31.74</v>
      </c>
      <c r="Y120" s="21">
        <f t="shared" si="24"/>
        <v>0.13862915537177195</v>
      </c>
      <c r="Z120" s="21">
        <f t="shared" si="25"/>
        <v>0.32323682141595639</v>
      </c>
      <c r="AA120" s="21">
        <f t="shared" si="26"/>
        <v>0.57231999999999994</v>
      </c>
      <c r="AB120" s="21">
        <f t="shared" si="27"/>
        <v>0.63354416997527452</v>
      </c>
    </row>
    <row r="121" spans="1:28" ht="16" customHeight="1" x14ac:dyDescent="0.2">
      <c r="A121" t="s">
        <v>28</v>
      </c>
      <c r="B121" t="s">
        <v>29</v>
      </c>
      <c r="C121" t="s">
        <v>280</v>
      </c>
      <c r="D121" t="s">
        <v>281</v>
      </c>
      <c r="E121" t="s">
        <v>32</v>
      </c>
      <c r="F121" t="s">
        <v>33</v>
      </c>
      <c r="G121" t="s">
        <v>34</v>
      </c>
      <c r="H121" s="15">
        <v>29.8</v>
      </c>
      <c r="I121" s="15">
        <f t="shared" si="30"/>
        <v>4.5257837359237447</v>
      </c>
      <c r="J121" s="17">
        <v>1.19</v>
      </c>
      <c r="K121" s="17">
        <v>538000</v>
      </c>
      <c r="L121" s="11" t="s">
        <v>35</v>
      </c>
      <c r="M121" s="11" t="s">
        <v>81</v>
      </c>
      <c r="N121" s="14">
        <v>65</v>
      </c>
      <c r="O121" s="11">
        <v>250.3</v>
      </c>
      <c r="P121" s="23" t="s">
        <v>82</v>
      </c>
      <c r="Q121" s="11" t="str">
        <f t="shared" si="17"/>
        <v>-</v>
      </c>
      <c r="R121" s="24" t="str">
        <f t="shared" si="18"/>
        <v>-</v>
      </c>
      <c r="S121" s="20" t="str">
        <f t="shared" si="19"/>
        <v>-</v>
      </c>
      <c r="T121" s="15" t="str">
        <f t="shared" si="20"/>
        <v>-</v>
      </c>
      <c r="U121" s="15" t="str">
        <f t="shared" si="21"/>
        <v>-</v>
      </c>
      <c r="V121" s="21">
        <v>0.112</v>
      </c>
      <c r="W121" s="20" t="str">
        <f t="shared" si="22"/>
        <v>-</v>
      </c>
      <c r="X121" s="20" t="str">
        <f t="shared" si="23"/>
        <v>-</v>
      </c>
      <c r="Y121" s="21" t="str">
        <f t="shared" si="24"/>
        <v>-</v>
      </c>
      <c r="Z121" s="21" t="str">
        <f t="shared" si="25"/>
        <v>-</v>
      </c>
      <c r="AA121" s="21">
        <f t="shared" si="26"/>
        <v>0.21951999999999999</v>
      </c>
      <c r="AB121" s="21" t="str">
        <f t="shared" si="27"/>
        <v>-</v>
      </c>
    </row>
    <row r="122" spans="1:28" ht="16" customHeight="1" x14ac:dyDescent="0.2">
      <c r="A122" t="s">
        <v>28</v>
      </c>
      <c r="B122" t="s">
        <v>29</v>
      </c>
      <c r="C122" t="s">
        <v>282</v>
      </c>
      <c r="D122" t="s">
        <v>283</v>
      </c>
      <c r="E122" t="s">
        <v>32</v>
      </c>
      <c r="F122" t="s">
        <v>33</v>
      </c>
      <c r="G122" t="s">
        <v>34</v>
      </c>
      <c r="H122" s="15">
        <v>15</v>
      </c>
      <c r="I122" s="15">
        <f t="shared" si="30"/>
        <v>4.8239087409443187</v>
      </c>
      <c r="J122" s="17">
        <v>0.91400000000000003</v>
      </c>
      <c r="K122" s="17">
        <v>435000</v>
      </c>
      <c r="L122" s="11" t="s">
        <v>247</v>
      </c>
      <c r="M122" s="11" t="s">
        <v>247</v>
      </c>
      <c r="N122" s="14">
        <v>20</v>
      </c>
      <c r="O122" s="11">
        <v>499.92</v>
      </c>
      <c r="P122" s="13">
        <v>2.68</v>
      </c>
      <c r="Q122" s="11">
        <f t="shared" si="17"/>
        <v>33.5</v>
      </c>
      <c r="R122" s="20">
        <f t="shared" si="18"/>
        <v>6.7010721715474482</v>
      </c>
      <c r="S122" s="20">
        <f t="shared" si="19"/>
        <v>6.7010721715474481E-2</v>
      </c>
      <c r="T122" s="15">
        <f t="shared" si="20"/>
        <v>1.0051608257321172</v>
      </c>
      <c r="U122" s="15">
        <f t="shared" si="21"/>
        <v>5.9977644455668253</v>
      </c>
      <c r="V122" s="21">
        <v>0.13800000000000001</v>
      </c>
      <c r="W122" s="20">
        <f t="shared" si="22"/>
        <v>16.960746268656713</v>
      </c>
      <c r="X122" s="20">
        <f t="shared" si="23"/>
        <v>31.74</v>
      </c>
      <c r="Y122" s="21">
        <f t="shared" si="24"/>
        <v>0.15629138622267016</v>
      </c>
      <c r="Z122" s="21">
        <f t="shared" si="25"/>
        <v>0.20849699615918657</v>
      </c>
      <c r="AA122" s="21">
        <f t="shared" si="26"/>
        <v>0.27048</v>
      </c>
      <c r="AB122" s="21">
        <f t="shared" si="27"/>
        <v>0.40865411247200567</v>
      </c>
    </row>
    <row r="123" spans="1:28" ht="16" customHeight="1" x14ac:dyDescent="0.2">
      <c r="A123" t="s">
        <v>28</v>
      </c>
      <c r="B123" t="s">
        <v>29</v>
      </c>
      <c r="C123" t="s">
        <v>284</v>
      </c>
      <c r="D123" t="s">
        <v>285</v>
      </c>
      <c r="E123" t="s">
        <v>32</v>
      </c>
      <c r="F123" t="s">
        <v>38</v>
      </c>
      <c r="G123" t="s">
        <v>34</v>
      </c>
      <c r="H123" s="15">
        <v>17900</v>
      </c>
      <c r="I123" s="15">
        <f t="shared" si="30"/>
        <v>1.7471469690201069</v>
      </c>
      <c r="J123" s="17">
        <v>1.1499999999999999</v>
      </c>
      <c r="K123" s="17">
        <v>526000</v>
      </c>
      <c r="L123" s="11" t="s">
        <v>35</v>
      </c>
      <c r="M123" s="11" t="s">
        <v>35</v>
      </c>
      <c r="N123" s="14">
        <v>65</v>
      </c>
      <c r="O123" s="11">
        <v>250.12</v>
      </c>
      <c r="P123" s="13">
        <v>16.744</v>
      </c>
      <c r="Q123" s="11">
        <f t="shared" si="17"/>
        <v>209.3</v>
      </c>
      <c r="R123" s="20">
        <f t="shared" si="18"/>
        <v>83.679833679833678</v>
      </c>
      <c r="S123" s="20">
        <f t="shared" si="19"/>
        <v>0.83679833679833682</v>
      </c>
      <c r="T123" s="15">
        <f t="shared" si="20"/>
        <v>14978.69022869023</v>
      </c>
      <c r="U123" s="15">
        <f t="shared" si="21"/>
        <v>1.8245261606900514</v>
      </c>
      <c r="V123" s="21">
        <v>0.53800000000000003</v>
      </c>
      <c r="W123" s="20">
        <f t="shared" si="22"/>
        <v>3.4370425226946963</v>
      </c>
      <c r="X123" s="20">
        <f t="shared" si="23"/>
        <v>31.74</v>
      </c>
      <c r="Y123" s="21">
        <f t="shared" si="24"/>
        <v>0.13865091002727037</v>
      </c>
      <c r="Z123" s="21">
        <f t="shared" si="25"/>
        <v>0.55557904464746533</v>
      </c>
      <c r="AA123" s="21">
        <f t="shared" si="26"/>
        <v>1.0544800000000001</v>
      </c>
      <c r="AB123" s="21">
        <f t="shared" si="27"/>
        <v>1.0889349275090321</v>
      </c>
    </row>
    <row r="124" spans="1:28" ht="16" customHeight="1" x14ac:dyDescent="0.2">
      <c r="A124" t="s">
        <v>28</v>
      </c>
      <c r="B124" t="s">
        <v>29</v>
      </c>
      <c r="C124" t="s">
        <v>286</v>
      </c>
      <c r="D124" t="s">
        <v>287</v>
      </c>
      <c r="E124" t="s">
        <v>32</v>
      </c>
      <c r="F124" t="s">
        <v>33</v>
      </c>
      <c r="G124" t="s">
        <v>34</v>
      </c>
      <c r="H124" s="15">
        <v>4.99</v>
      </c>
      <c r="I124" s="15">
        <f t="shared" si="30"/>
        <v>5.3018994543766098</v>
      </c>
      <c r="J124" s="17">
        <v>0.59499999999999997</v>
      </c>
      <c r="K124" s="17">
        <v>351000</v>
      </c>
      <c r="L124" s="11" t="s">
        <v>35</v>
      </c>
      <c r="M124" s="11" t="s">
        <v>35</v>
      </c>
      <c r="N124" s="14">
        <v>65</v>
      </c>
      <c r="O124" s="11">
        <v>250.94</v>
      </c>
      <c r="P124" s="13">
        <v>10.82</v>
      </c>
      <c r="Q124" s="11">
        <f t="shared" si="17"/>
        <v>135.25</v>
      </c>
      <c r="R124" s="20">
        <f t="shared" si="18"/>
        <v>53.897345979118519</v>
      </c>
      <c r="S124" s="20">
        <f t="shared" si="19"/>
        <v>0.53897345979118516</v>
      </c>
      <c r="T124" s="15">
        <f t="shared" si="20"/>
        <v>2.6894775643580142</v>
      </c>
      <c r="U124" s="15">
        <f t="shared" si="21"/>
        <v>5.5703320742548454</v>
      </c>
      <c r="V124" s="21">
        <v>0.10299999999999999</v>
      </c>
      <c r="W124" s="20">
        <f t="shared" si="22"/>
        <v>4.8479852125693164</v>
      </c>
      <c r="X124" s="20">
        <f t="shared" si="23"/>
        <v>31.74</v>
      </c>
      <c r="Y124" s="21">
        <f t="shared" si="24"/>
        <v>0.13944373866901164</v>
      </c>
      <c r="Z124" s="21">
        <f t="shared" si="25"/>
        <v>0.17335961540679423</v>
      </c>
      <c r="AA124" s="21">
        <f t="shared" si="26"/>
        <v>0.20187999999999998</v>
      </c>
      <c r="AB124" s="21">
        <f t="shared" si="27"/>
        <v>0.33978484619731669</v>
      </c>
    </row>
    <row r="125" spans="1:28" ht="16" customHeight="1" x14ac:dyDescent="0.2">
      <c r="A125" t="s">
        <v>28</v>
      </c>
      <c r="B125" t="s">
        <v>29</v>
      </c>
      <c r="C125" t="s">
        <v>288</v>
      </c>
      <c r="D125" t="s">
        <v>289</v>
      </c>
      <c r="E125" t="s">
        <v>32</v>
      </c>
      <c r="F125" t="s">
        <v>33</v>
      </c>
      <c r="G125" t="s">
        <v>34</v>
      </c>
      <c r="H125" s="15">
        <v>5.35</v>
      </c>
      <c r="I125" s="15">
        <f t="shared" si="30"/>
        <v>5.2716462179787715</v>
      </c>
      <c r="J125" s="17">
        <v>0.754</v>
      </c>
      <c r="K125" s="17">
        <v>417000</v>
      </c>
      <c r="L125" s="11" t="s">
        <v>35</v>
      </c>
      <c r="M125" s="11" t="s">
        <v>35</v>
      </c>
      <c r="N125" s="14">
        <v>65</v>
      </c>
      <c r="O125" s="11">
        <v>249.6</v>
      </c>
      <c r="P125" s="13">
        <v>13.532999999999999</v>
      </c>
      <c r="Q125" s="11">
        <f t="shared" si="17"/>
        <v>169.16249999999999</v>
      </c>
      <c r="R125" s="20">
        <f t="shared" si="18"/>
        <v>67.7734375</v>
      </c>
      <c r="S125" s="20">
        <f t="shared" si="19"/>
        <v>0.677734375</v>
      </c>
      <c r="T125" s="15">
        <f t="shared" si="20"/>
        <v>3.6258789062499996</v>
      </c>
      <c r="U125" s="15">
        <f t="shared" si="21"/>
        <v>5.4405867041637288</v>
      </c>
      <c r="V125" s="21">
        <v>6.8500000000000005E-2</v>
      </c>
      <c r="W125" s="20">
        <f t="shared" si="22"/>
        <v>4.048502179856647</v>
      </c>
      <c r="X125" s="20">
        <f t="shared" si="23"/>
        <v>31.74</v>
      </c>
      <c r="Y125" s="21">
        <f t="shared" si="24"/>
        <v>0.13896188136819454</v>
      </c>
      <c r="Z125" s="21">
        <f t="shared" si="25"/>
        <v>0.15492790088743916</v>
      </c>
      <c r="AA125" s="21">
        <f t="shared" si="26"/>
        <v>0.13426000000000002</v>
      </c>
      <c r="AB125" s="21">
        <f t="shared" si="27"/>
        <v>0.30365868573938076</v>
      </c>
    </row>
    <row r="126" spans="1:28" ht="16" customHeight="1" x14ac:dyDescent="0.2">
      <c r="A126" t="s">
        <v>28</v>
      </c>
      <c r="B126" t="s">
        <v>29</v>
      </c>
      <c r="C126" t="s">
        <v>290</v>
      </c>
      <c r="D126" t="s">
        <v>291</v>
      </c>
      <c r="E126" t="s">
        <v>32</v>
      </c>
      <c r="F126" t="s">
        <v>33</v>
      </c>
      <c r="G126" t="s">
        <v>34</v>
      </c>
      <c r="H126" s="15">
        <v>85.3</v>
      </c>
      <c r="I126" s="15">
        <f t="shared" si="30"/>
        <v>4.0690509688324772</v>
      </c>
      <c r="J126" s="17">
        <v>0.86799999999999999</v>
      </c>
      <c r="K126" s="17">
        <v>464000</v>
      </c>
      <c r="L126" s="11" t="s">
        <v>35</v>
      </c>
      <c r="M126" s="11" t="s">
        <v>35</v>
      </c>
      <c r="N126" s="14">
        <v>65</v>
      </c>
      <c r="O126" s="11">
        <v>249.09</v>
      </c>
      <c r="P126" s="13">
        <v>3.1989999999999998</v>
      </c>
      <c r="Q126" s="11">
        <f t="shared" si="17"/>
        <v>39.987499999999997</v>
      </c>
      <c r="R126" s="20">
        <f t="shared" si="18"/>
        <v>16.05343450158577</v>
      </c>
      <c r="S126" s="20">
        <f t="shared" si="19"/>
        <v>0.1605343450158577</v>
      </c>
      <c r="T126" s="15">
        <f t="shared" si="20"/>
        <v>13.69357962985266</v>
      </c>
      <c r="U126" s="15">
        <f t="shared" si="21"/>
        <v>4.863483008383227</v>
      </c>
      <c r="V126" s="21">
        <v>0.30299999999999999</v>
      </c>
      <c r="W126" s="20">
        <f t="shared" si="22"/>
        <v>14.348590184432634</v>
      </c>
      <c r="X126" s="20">
        <f t="shared" si="23"/>
        <v>31.74</v>
      </c>
      <c r="Y126" s="21">
        <f t="shared" si="24"/>
        <v>0.15127603585958743</v>
      </c>
      <c r="Z126" s="21">
        <f t="shared" si="25"/>
        <v>0.33866419802717734</v>
      </c>
      <c r="AA126" s="21">
        <f t="shared" si="26"/>
        <v>0.59387999999999996</v>
      </c>
      <c r="AB126" s="21">
        <f t="shared" si="27"/>
        <v>0.66378182813326758</v>
      </c>
    </row>
    <row r="127" spans="1:28" ht="16" customHeight="1" x14ac:dyDescent="0.2">
      <c r="A127" t="s">
        <v>28</v>
      </c>
      <c r="B127" t="s">
        <v>29</v>
      </c>
      <c r="C127" t="s">
        <v>292</v>
      </c>
      <c r="D127" t="s">
        <v>293</v>
      </c>
      <c r="E127" t="s">
        <v>32</v>
      </c>
      <c r="F127" t="s">
        <v>38</v>
      </c>
      <c r="G127" t="s">
        <v>34</v>
      </c>
      <c r="H127" s="15">
        <v>17700</v>
      </c>
      <c r="I127" s="15">
        <f t="shared" si="30"/>
        <v>1.7520267336381934</v>
      </c>
      <c r="J127" s="17">
        <v>1.24</v>
      </c>
      <c r="K127" s="17">
        <v>619000</v>
      </c>
      <c r="L127" s="11" t="s">
        <v>35</v>
      </c>
      <c r="M127" s="11" t="s">
        <v>35</v>
      </c>
      <c r="N127" s="14">
        <v>65</v>
      </c>
      <c r="O127" s="11">
        <v>250.6</v>
      </c>
      <c r="P127" s="13">
        <v>8.9260000000000002</v>
      </c>
      <c r="Q127" s="11">
        <f t="shared" si="17"/>
        <v>111.575</v>
      </c>
      <c r="R127" s="20">
        <f t="shared" si="18"/>
        <v>44.52314445331205</v>
      </c>
      <c r="S127" s="20">
        <f t="shared" si="19"/>
        <v>0.44523144453312047</v>
      </c>
      <c r="T127" s="15">
        <f t="shared" si="20"/>
        <v>7880.5965682362321</v>
      </c>
      <c r="U127" s="15">
        <f t="shared" si="21"/>
        <v>2.1034409047837577</v>
      </c>
      <c r="V127" s="21">
        <v>0.53400000000000003</v>
      </c>
      <c r="W127" s="20">
        <f t="shared" si="22"/>
        <v>5.6941922473672415</v>
      </c>
      <c r="X127" s="20">
        <f t="shared" si="23"/>
        <v>31.74</v>
      </c>
      <c r="Y127" s="21">
        <f t="shared" si="24"/>
        <v>0.14004575751346582</v>
      </c>
      <c r="Z127" s="21">
        <f t="shared" si="25"/>
        <v>0.55205870539057755</v>
      </c>
      <c r="AA127" s="21">
        <f t="shared" si="26"/>
        <v>1.04664</v>
      </c>
      <c r="AB127" s="21">
        <f t="shared" si="27"/>
        <v>1.0820350625655319</v>
      </c>
    </row>
    <row r="128" spans="1:28" ht="16" customHeight="1" x14ac:dyDescent="0.2">
      <c r="A128" t="s">
        <v>28</v>
      </c>
      <c r="B128" t="s">
        <v>29</v>
      </c>
      <c r="C128" t="s">
        <v>294</v>
      </c>
      <c r="D128" t="s">
        <v>295</v>
      </c>
      <c r="E128" t="s">
        <v>32</v>
      </c>
      <c r="F128" t="s">
        <v>33</v>
      </c>
      <c r="G128" t="s">
        <v>34</v>
      </c>
      <c r="H128" s="15">
        <v>10.7</v>
      </c>
      <c r="I128" s="15">
        <f t="shared" si="30"/>
        <v>4.9706162223147903</v>
      </c>
      <c r="J128" s="17">
        <v>0.49199999999999999</v>
      </c>
      <c r="K128" s="17">
        <v>308000</v>
      </c>
      <c r="L128" s="11" t="s">
        <v>35</v>
      </c>
      <c r="M128" s="11" t="s">
        <v>35</v>
      </c>
      <c r="N128" s="14">
        <v>65</v>
      </c>
      <c r="O128" s="11">
        <v>249.66</v>
      </c>
      <c r="P128" s="13">
        <v>11.837</v>
      </c>
      <c r="Q128" s="11">
        <f t="shared" si="17"/>
        <v>147.96250000000001</v>
      </c>
      <c r="R128" s="20">
        <f t="shared" si="18"/>
        <v>59.26560121765602</v>
      </c>
      <c r="S128" s="20">
        <f t="shared" si="19"/>
        <v>0.59265601217656017</v>
      </c>
      <c r="T128" s="15">
        <f t="shared" si="20"/>
        <v>6.3414193302891935</v>
      </c>
      <c r="U128" s="15">
        <f t="shared" si="21"/>
        <v>5.1978135278713262</v>
      </c>
      <c r="V128" s="21">
        <v>8.5599999999999996E-2</v>
      </c>
      <c r="W128" s="20">
        <f t="shared" si="22"/>
        <v>4.5053493283771227</v>
      </c>
      <c r="X128" s="20">
        <f t="shared" si="23"/>
        <v>31.74</v>
      </c>
      <c r="Y128" s="21">
        <f t="shared" si="24"/>
        <v>0.13922683003901698</v>
      </c>
      <c r="Z128" s="21">
        <f t="shared" si="25"/>
        <v>0.16343644086528963</v>
      </c>
      <c r="AA128" s="21">
        <f t="shared" si="26"/>
        <v>0.16777599999999998</v>
      </c>
      <c r="AB128" s="21">
        <f t="shared" si="27"/>
        <v>0.32033542409596766</v>
      </c>
    </row>
    <row r="129" spans="1:28" ht="16" customHeight="1" x14ac:dyDescent="0.2">
      <c r="A129" t="s">
        <v>28</v>
      </c>
      <c r="B129" t="s">
        <v>29</v>
      </c>
      <c r="C129" t="s">
        <v>296</v>
      </c>
      <c r="D129" t="s">
        <v>297</v>
      </c>
      <c r="E129" t="s">
        <v>32</v>
      </c>
      <c r="F129" t="s">
        <v>33</v>
      </c>
      <c r="G129" t="s">
        <v>34</v>
      </c>
      <c r="H129" s="15">
        <v>40.9</v>
      </c>
      <c r="I129" s="15">
        <f t="shared" si="30"/>
        <v>4.3882766919926581</v>
      </c>
      <c r="J129" s="17">
        <v>0.84499999999999997</v>
      </c>
      <c r="K129" s="17">
        <v>409000</v>
      </c>
      <c r="L129" s="11" t="s">
        <v>35</v>
      </c>
      <c r="M129" s="11" t="s">
        <v>35</v>
      </c>
      <c r="N129" s="14">
        <v>65</v>
      </c>
      <c r="O129" s="11">
        <v>249.32</v>
      </c>
      <c r="P129" s="13">
        <v>5.24</v>
      </c>
      <c r="Q129" s="11">
        <f t="shared" si="17"/>
        <v>65.5</v>
      </c>
      <c r="R129" s="20">
        <f t="shared" si="18"/>
        <v>26.271458366757582</v>
      </c>
      <c r="S129" s="20">
        <f t="shared" si="19"/>
        <v>0.26271458366757583</v>
      </c>
      <c r="T129" s="15">
        <f t="shared" si="20"/>
        <v>10.74502647200385</v>
      </c>
      <c r="U129" s="15">
        <f t="shared" si="21"/>
        <v>4.9687925102208359</v>
      </c>
      <c r="V129" s="21">
        <v>0.23200000000000001</v>
      </c>
      <c r="W129" s="20">
        <f t="shared" si="22"/>
        <v>9.0947328244274797</v>
      </c>
      <c r="X129" s="20">
        <f t="shared" si="23"/>
        <v>31.74</v>
      </c>
      <c r="Y129" s="21">
        <f t="shared" si="24"/>
        <v>0.14339228999766598</v>
      </c>
      <c r="Z129" s="21">
        <f t="shared" si="25"/>
        <v>0.27273677572116078</v>
      </c>
      <c r="AA129" s="21">
        <f t="shared" si="26"/>
        <v>0.45472000000000001</v>
      </c>
      <c r="AB129" s="21">
        <f t="shared" si="27"/>
        <v>0.53456408041347514</v>
      </c>
    </row>
    <row r="130" spans="1:28" ht="16" customHeight="1" x14ac:dyDescent="0.2">
      <c r="A130" t="s">
        <v>28</v>
      </c>
      <c r="B130" t="s">
        <v>29</v>
      </c>
      <c r="C130" t="s">
        <v>298</v>
      </c>
      <c r="D130" t="s">
        <v>299</v>
      </c>
      <c r="E130" t="s">
        <v>32</v>
      </c>
      <c r="F130" t="s">
        <v>33</v>
      </c>
      <c r="G130" t="s">
        <v>34</v>
      </c>
      <c r="H130" s="15">
        <v>11.1</v>
      </c>
      <c r="I130" s="15">
        <f t="shared" si="30"/>
        <v>4.9546770212133424</v>
      </c>
      <c r="J130" s="17">
        <v>0.57899999999999996</v>
      </c>
      <c r="K130" s="17">
        <v>345000</v>
      </c>
      <c r="L130" s="11" t="s">
        <v>35</v>
      </c>
      <c r="M130" s="11" t="s">
        <v>35</v>
      </c>
      <c r="N130" s="14">
        <v>65</v>
      </c>
      <c r="O130" s="11">
        <v>250.43</v>
      </c>
      <c r="P130" s="13">
        <v>8.3000000000000007</v>
      </c>
      <c r="Q130" s="11">
        <f t="shared" ref="Q130:Q193" si="31">IF(ISNUMBER(P130),12.5*P130,"-")</f>
        <v>103.75000000000001</v>
      </c>
      <c r="R130" s="20">
        <f t="shared" ref="R130:R193" si="32">IF(OR(Q130="-",O130="",O130=0),"-",Q130/O130*100)</f>
        <v>41.428742562792003</v>
      </c>
      <c r="S130" s="20">
        <f t="shared" ref="S130:S193" si="33">IF(R130="-","-",R130/100)</f>
        <v>0.41428742562792004</v>
      </c>
      <c r="T130" s="15">
        <f t="shared" ref="T130:T193" si="34">IF(H130="no data","no data",IF(OR(H130="",S130="-",S130=""),"-",H130*S130))</f>
        <v>4.5985904244699123</v>
      </c>
      <c r="U130" s="15">
        <f t="shared" ref="U130:U193" si="35">IF(T130="no data","no data",IF(T130="-","-",IF(T130="","",IF(T130=0,0,-LOG10(T130*10^-6)))))</f>
        <v>5.3373752693374055</v>
      </c>
      <c r="V130" s="21">
        <v>0.17299999999999999</v>
      </c>
      <c r="W130" s="20">
        <f t="shared" ref="W130:W193" si="36">IF(OR(NOT(ISNUMBER(P130)),P130=0),"-",43.15/P130+0.86)</f>
        <v>6.0587951807228917</v>
      </c>
      <c r="X130" s="20">
        <f t="shared" ref="X130:X193" si="37">IF(W130="-","-",31.74)</f>
        <v>31.74</v>
      </c>
      <c r="Y130" s="21">
        <f t="shared" ref="Y130:Y193" si="38">IF(OR(W130="-",X130="-"),"-",SQRT((W130/100)^2+(X130/100)^2)/LN(10))</f>
        <v>0.14033402148347257</v>
      </c>
      <c r="Z130" s="21">
        <f t="shared" ref="Z130:Z193" si="39">IF(OR(V130="-",Y130="-",U130="no data",U130="",U130="-"),"-",SQRT(V130^2+Y130^2))</f>
        <v>0.22276139159585923</v>
      </c>
      <c r="AA130" s="21">
        <f t="shared" ref="AA130:AA193" si="40">IF(V130="-","-",V130*1.96)</f>
        <v>0.33907999999999999</v>
      </c>
      <c r="AB130" s="21">
        <f t="shared" ref="AB130:AB193" si="41">IF(Z130="-","-",Z130*1.96)</f>
        <v>0.43661232752788409</v>
      </c>
    </row>
    <row r="131" spans="1:28" ht="16" customHeight="1" x14ac:dyDescent="0.2">
      <c r="A131" t="s">
        <v>28</v>
      </c>
      <c r="B131" t="s">
        <v>29</v>
      </c>
      <c r="C131" t="s">
        <v>300</v>
      </c>
      <c r="D131" t="s">
        <v>301</v>
      </c>
      <c r="E131" t="s">
        <v>32</v>
      </c>
      <c r="F131" t="s">
        <v>38</v>
      </c>
      <c r="G131" t="s">
        <v>34</v>
      </c>
      <c r="H131" s="15">
        <v>16900</v>
      </c>
      <c r="I131" s="15">
        <f t="shared" si="30"/>
        <v>1.7721132953863266</v>
      </c>
      <c r="J131" s="17">
        <v>1.26</v>
      </c>
      <c r="K131" s="17">
        <v>627000</v>
      </c>
      <c r="L131" s="11" t="s">
        <v>35</v>
      </c>
      <c r="M131" s="11" t="s">
        <v>35</v>
      </c>
      <c r="N131" s="14">
        <v>65</v>
      </c>
      <c r="O131" s="11">
        <v>250.36</v>
      </c>
      <c r="P131" s="13">
        <v>14.772</v>
      </c>
      <c r="Q131" s="11">
        <f t="shared" si="31"/>
        <v>184.65</v>
      </c>
      <c r="R131" s="20">
        <f t="shared" si="32"/>
        <v>73.753794535868337</v>
      </c>
      <c r="S131" s="20">
        <f t="shared" si="33"/>
        <v>0.73753794535868333</v>
      </c>
      <c r="T131" s="15">
        <f t="shared" si="34"/>
        <v>12464.391276561748</v>
      </c>
      <c r="U131" s="15">
        <f t="shared" si="35"/>
        <v>1.9043289262805876</v>
      </c>
      <c r="V131" s="21">
        <v>0.55800000000000005</v>
      </c>
      <c r="W131" s="20">
        <f t="shared" si="36"/>
        <v>3.7810668832927159</v>
      </c>
      <c r="X131" s="20">
        <f t="shared" si="37"/>
        <v>31.74</v>
      </c>
      <c r="Y131" s="21">
        <f t="shared" si="38"/>
        <v>0.13881970685468839</v>
      </c>
      <c r="Z131" s="21">
        <f t="shared" si="39"/>
        <v>0.57500861820604199</v>
      </c>
      <c r="AA131" s="21">
        <f t="shared" si="40"/>
        <v>1.09368</v>
      </c>
      <c r="AB131" s="21">
        <f t="shared" si="41"/>
        <v>1.1270168916838423</v>
      </c>
    </row>
    <row r="132" spans="1:28" ht="16" customHeight="1" x14ac:dyDescent="0.2">
      <c r="A132" t="s">
        <v>28</v>
      </c>
      <c r="B132" t="s">
        <v>29</v>
      </c>
      <c r="C132" t="s">
        <v>302</v>
      </c>
      <c r="D132" t="s">
        <v>303</v>
      </c>
      <c r="E132" t="s">
        <v>32</v>
      </c>
      <c r="F132" t="s">
        <v>33</v>
      </c>
      <c r="G132" t="s">
        <v>34</v>
      </c>
      <c r="H132" s="15">
        <v>73.900000000000006</v>
      </c>
      <c r="I132" s="15">
        <f t="shared" si="30"/>
        <v>4.131355561605174</v>
      </c>
      <c r="J132" s="17">
        <v>0.93400000000000005</v>
      </c>
      <c r="K132" s="17">
        <v>492000</v>
      </c>
      <c r="L132" s="11" t="s">
        <v>35</v>
      </c>
      <c r="M132" s="11" t="s">
        <v>35</v>
      </c>
      <c r="N132" s="14">
        <v>65</v>
      </c>
      <c r="O132" s="11">
        <v>249.84</v>
      </c>
      <c r="P132" s="13">
        <v>22.742999999999999</v>
      </c>
      <c r="Q132" s="11">
        <f t="shared" si="31"/>
        <v>284.28749999999997</v>
      </c>
      <c r="R132" s="20">
        <f t="shared" si="32"/>
        <v>113.78782420749278</v>
      </c>
      <c r="S132" s="20">
        <f t="shared" si="33"/>
        <v>1.1378782420749278</v>
      </c>
      <c r="T132" s="15">
        <f t="shared" si="34"/>
        <v>84.089202089337178</v>
      </c>
      <c r="U132" s="15">
        <f t="shared" si="35"/>
        <v>4.07525976846002</v>
      </c>
      <c r="V132" s="21">
        <v>0.251</v>
      </c>
      <c r="W132" s="20">
        <f t="shared" si="36"/>
        <v>2.7572870773424789</v>
      </c>
      <c r="X132" s="20">
        <f t="shared" si="37"/>
        <v>31.74</v>
      </c>
      <c r="Y132" s="21">
        <f t="shared" si="38"/>
        <v>0.13836422029581275</v>
      </c>
      <c r="Z132" s="21">
        <f t="shared" si="39"/>
        <v>0.28661063737772924</v>
      </c>
      <c r="AA132" s="21">
        <f t="shared" si="40"/>
        <v>0.49196000000000001</v>
      </c>
      <c r="AB132" s="21">
        <f t="shared" si="41"/>
        <v>0.5617568492603493</v>
      </c>
    </row>
    <row r="133" spans="1:28" ht="16" customHeight="1" x14ac:dyDescent="0.2">
      <c r="A133" t="s">
        <v>28</v>
      </c>
      <c r="B133" t="s">
        <v>29</v>
      </c>
      <c r="C133" t="s">
        <v>304</v>
      </c>
      <c r="D133" t="s">
        <v>305</v>
      </c>
      <c r="E133" t="s">
        <v>32</v>
      </c>
      <c r="F133" t="s">
        <v>38</v>
      </c>
      <c r="G133" t="s">
        <v>34</v>
      </c>
      <c r="H133" s="15">
        <v>660</v>
      </c>
      <c r="I133" s="15">
        <f t="shared" si="30"/>
        <v>3.1804560644581312</v>
      </c>
      <c r="J133" s="17">
        <v>0.48399999999999999</v>
      </c>
      <c r="K133" s="17">
        <v>305000</v>
      </c>
      <c r="L133" s="11" t="s">
        <v>35</v>
      </c>
      <c r="M133" s="11" t="s">
        <v>35</v>
      </c>
      <c r="N133" s="14">
        <v>65</v>
      </c>
      <c r="O133" s="11">
        <v>250.21</v>
      </c>
      <c r="P133" s="13">
        <v>5.2210000000000001</v>
      </c>
      <c r="Q133" s="11">
        <f t="shared" si="31"/>
        <v>65.262500000000003</v>
      </c>
      <c r="R133" s="20">
        <f t="shared" si="32"/>
        <v>26.083090204228448</v>
      </c>
      <c r="S133" s="20">
        <f t="shared" si="33"/>
        <v>0.26083090204228448</v>
      </c>
      <c r="T133" s="15">
        <f t="shared" si="34"/>
        <v>172.14839534790775</v>
      </c>
      <c r="U133" s="15">
        <f t="shared" si="35"/>
        <v>3.7640970211428511</v>
      </c>
      <c r="V133" s="21">
        <v>0.17599999999999999</v>
      </c>
      <c r="W133" s="20">
        <f t="shared" si="36"/>
        <v>9.1247002489944453</v>
      </c>
      <c r="X133" s="20">
        <f t="shared" si="37"/>
        <v>31.74</v>
      </c>
      <c r="Y133" s="21">
        <f t="shared" si="38"/>
        <v>0.14342819398964252</v>
      </c>
      <c r="Z133" s="21">
        <f t="shared" si="39"/>
        <v>0.22704106860022158</v>
      </c>
      <c r="AA133" s="21">
        <f t="shared" si="40"/>
        <v>0.34495999999999999</v>
      </c>
      <c r="AB133" s="21">
        <f t="shared" si="41"/>
        <v>0.4450004944564343</v>
      </c>
    </row>
    <row r="134" spans="1:28" ht="16" customHeight="1" x14ac:dyDescent="0.2">
      <c r="A134" t="s">
        <v>28</v>
      </c>
      <c r="B134" t="s">
        <v>29</v>
      </c>
      <c r="C134" t="s">
        <v>306</v>
      </c>
      <c r="D134" t="s">
        <v>307</v>
      </c>
      <c r="E134" t="s">
        <v>32</v>
      </c>
      <c r="F134" t="s">
        <v>38</v>
      </c>
      <c r="G134" t="s">
        <v>34</v>
      </c>
      <c r="H134" s="16" t="s">
        <v>67</v>
      </c>
      <c r="I134" s="16" t="s">
        <v>67</v>
      </c>
      <c r="J134" s="18" t="s">
        <v>67</v>
      </c>
      <c r="K134" s="18" t="s">
        <v>67</v>
      </c>
      <c r="L134" s="11" t="s">
        <v>35</v>
      </c>
      <c r="M134" s="11" t="s">
        <v>35</v>
      </c>
      <c r="N134" s="14">
        <v>65</v>
      </c>
      <c r="O134" s="11">
        <v>250.84</v>
      </c>
      <c r="P134" s="13">
        <v>15.529</v>
      </c>
      <c r="Q134" s="11">
        <f t="shared" si="31"/>
        <v>194.11250000000001</v>
      </c>
      <c r="R134" s="20">
        <f t="shared" si="32"/>
        <v>77.384986445542978</v>
      </c>
      <c r="S134" s="20">
        <f t="shared" si="33"/>
        <v>0.7738498644554298</v>
      </c>
      <c r="T134" s="15" t="str">
        <f t="shared" si="34"/>
        <v>no data</v>
      </c>
      <c r="U134" s="15" t="str">
        <f t="shared" si="35"/>
        <v>no data</v>
      </c>
      <c r="V134" s="22" t="s">
        <v>68</v>
      </c>
      <c r="W134" s="20">
        <f t="shared" si="36"/>
        <v>3.6386721617618645</v>
      </c>
      <c r="X134" s="20">
        <f t="shared" si="37"/>
        <v>31.74</v>
      </c>
      <c r="Y134" s="21">
        <f t="shared" si="38"/>
        <v>0.13874791381495405</v>
      </c>
      <c r="Z134" s="21" t="str">
        <f t="shared" si="39"/>
        <v>-</v>
      </c>
      <c r="AA134" s="21" t="str">
        <f t="shared" si="40"/>
        <v>-</v>
      </c>
      <c r="AB134" s="21" t="str">
        <f t="shared" si="41"/>
        <v>-</v>
      </c>
    </row>
    <row r="135" spans="1:28" ht="16" customHeight="1" x14ac:dyDescent="0.2">
      <c r="A135" t="s">
        <v>28</v>
      </c>
      <c r="B135" t="s">
        <v>29</v>
      </c>
      <c r="C135" t="s">
        <v>308</v>
      </c>
      <c r="D135" t="s">
        <v>309</v>
      </c>
      <c r="E135" t="s">
        <v>32</v>
      </c>
      <c r="F135" t="s">
        <v>33</v>
      </c>
      <c r="G135" t="s">
        <v>34</v>
      </c>
      <c r="H135" s="15">
        <v>11</v>
      </c>
      <c r="I135" s="15">
        <f t="shared" ref="I135:I164" si="42">IF(H135=0, 0, -LOG10(H135*10^-6))</f>
        <v>4.9586073148417746</v>
      </c>
      <c r="J135" s="17">
        <v>0.82399999999999995</v>
      </c>
      <c r="K135" s="17">
        <v>401000</v>
      </c>
      <c r="L135" s="11" t="s">
        <v>35</v>
      </c>
      <c r="M135" s="11" t="s">
        <v>35</v>
      </c>
      <c r="N135" s="14">
        <v>65</v>
      </c>
      <c r="O135" s="11">
        <v>250</v>
      </c>
      <c r="P135" s="13">
        <v>9.4949999999999992</v>
      </c>
      <c r="Q135" s="11">
        <f t="shared" si="31"/>
        <v>118.68749999999999</v>
      </c>
      <c r="R135" s="20">
        <f t="shared" si="32"/>
        <v>47.474999999999994</v>
      </c>
      <c r="S135" s="20">
        <f t="shared" si="33"/>
        <v>0.47474999999999995</v>
      </c>
      <c r="T135" s="15">
        <f t="shared" si="34"/>
        <v>5.2222499999999998</v>
      </c>
      <c r="U135" s="15">
        <f t="shared" si="35"/>
        <v>5.2821423414327198</v>
      </c>
      <c r="V135" s="21">
        <v>0.109</v>
      </c>
      <c r="W135" s="20">
        <f t="shared" si="36"/>
        <v>5.4044971037388105</v>
      </c>
      <c r="X135" s="20">
        <f t="shared" si="37"/>
        <v>31.74</v>
      </c>
      <c r="Y135" s="21">
        <f t="shared" si="38"/>
        <v>0.13982907808479622</v>
      </c>
      <c r="Z135" s="21">
        <f t="shared" si="39"/>
        <v>0.17729402437206968</v>
      </c>
      <c r="AA135" s="21">
        <f t="shared" si="40"/>
        <v>0.21364</v>
      </c>
      <c r="AB135" s="21">
        <f t="shared" si="41"/>
        <v>0.34749628776925656</v>
      </c>
    </row>
    <row r="136" spans="1:28" ht="16" customHeight="1" x14ac:dyDescent="0.2">
      <c r="A136" t="s">
        <v>28</v>
      </c>
      <c r="B136" t="s">
        <v>29</v>
      </c>
      <c r="C136" t="s">
        <v>310</v>
      </c>
      <c r="D136" t="s">
        <v>311</v>
      </c>
      <c r="E136" t="s">
        <v>32</v>
      </c>
      <c r="F136" t="s">
        <v>33</v>
      </c>
      <c r="G136" t="s">
        <v>34</v>
      </c>
      <c r="H136" s="15">
        <v>26.8</v>
      </c>
      <c r="I136" s="15">
        <f t="shared" si="42"/>
        <v>4.5718652059712115</v>
      </c>
      <c r="J136" s="17">
        <v>0.86099999999999999</v>
      </c>
      <c r="K136" s="17">
        <v>462000</v>
      </c>
      <c r="L136" s="11" t="s">
        <v>35</v>
      </c>
      <c r="M136" s="11" t="s">
        <v>35</v>
      </c>
      <c r="N136" s="14">
        <v>65</v>
      </c>
      <c r="O136" s="11">
        <v>249.12</v>
      </c>
      <c r="P136" s="13">
        <v>7.1680000000000001</v>
      </c>
      <c r="Q136" s="11">
        <f t="shared" si="31"/>
        <v>89.600000000000009</v>
      </c>
      <c r="R136" s="20">
        <f t="shared" si="32"/>
        <v>35.966602440590883</v>
      </c>
      <c r="S136" s="20">
        <f t="shared" si="33"/>
        <v>0.35966602440590884</v>
      </c>
      <c r="T136" s="15">
        <f t="shared" si="34"/>
        <v>9.6390494540783571</v>
      </c>
      <c r="U136" s="15">
        <f t="shared" si="35"/>
        <v>5.015965791533131</v>
      </c>
      <c r="V136" s="21">
        <v>0.22900000000000001</v>
      </c>
      <c r="W136" s="20">
        <f t="shared" si="36"/>
        <v>6.8798102678571427</v>
      </c>
      <c r="X136" s="20">
        <f t="shared" si="37"/>
        <v>31.74</v>
      </c>
      <c r="Y136" s="21">
        <f t="shared" si="38"/>
        <v>0.14104607699574695</v>
      </c>
      <c r="Z136" s="21">
        <f t="shared" si="39"/>
        <v>0.26895166077920057</v>
      </c>
      <c r="AA136" s="21">
        <f t="shared" si="40"/>
        <v>0.44884000000000002</v>
      </c>
      <c r="AB136" s="21">
        <f t="shared" si="41"/>
        <v>0.52714525512723309</v>
      </c>
    </row>
    <row r="137" spans="1:28" ht="16" customHeight="1" x14ac:dyDescent="0.2">
      <c r="A137" t="s">
        <v>28</v>
      </c>
      <c r="B137" t="s">
        <v>29</v>
      </c>
      <c r="C137" t="s">
        <v>312</v>
      </c>
      <c r="D137" t="s">
        <v>313</v>
      </c>
      <c r="E137" t="s">
        <v>32</v>
      </c>
      <c r="F137" t="s">
        <v>38</v>
      </c>
      <c r="G137" t="s">
        <v>34</v>
      </c>
      <c r="H137" s="15">
        <v>90.4</v>
      </c>
      <c r="I137" s="15">
        <f t="shared" si="42"/>
        <v>4.0438315695246363</v>
      </c>
      <c r="J137" s="17">
        <v>1.31</v>
      </c>
      <c r="K137" s="17">
        <v>649000</v>
      </c>
      <c r="L137" s="11" t="s">
        <v>35</v>
      </c>
      <c r="M137" s="11" t="s">
        <v>35</v>
      </c>
      <c r="N137" s="14">
        <v>65</v>
      </c>
      <c r="O137" s="11">
        <v>249.29</v>
      </c>
      <c r="P137" s="13">
        <v>7.7480000000000002</v>
      </c>
      <c r="Q137" s="11">
        <f t="shared" si="31"/>
        <v>96.850000000000009</v>
      </c>
      <c r="R137" s="20">
        <f t="shared" si="32"/>
        <v>38.850334951261587</v>
      </c>
      <c r="S137" s="20">
        <f t="shared" si="33"/>
        <v>0.38850334951261589</v>
      </c>
      <c r="T137" s="15">
        <f t="shared" si="34"/>
        <v>35.120702795940481</v>
      </c>
      <c r="U137" s="15">
        <f t="shared" si="35"/>
        <v>4.454436802067046</v>
      </c>
      <c r="V137" s="21">
        <v>8.8300000000000003E-2</v>
      </c>
      <c r="W137" s="20">
        <f t="shared" si="36"/>
        <v>6.4291791430046468</v>
      </c>
      <c r="X137" s="20">
        <f t="shared" si="37"/>
        <v>31.74</v>
      </c>
      <c r="Y137" s="21">
        <f t="shared" si="38"/>
        <v>0.14064450579544555</v>
      </c>
      <c r="Z137" s="21">
        <f t="shared" si="39"/>
        <v>0.16606555034216192</v>
      </c>
      <c r="AA137" s="21">
        <f t="shared" si="40"/>
        <v>0.173068</v>
      </c>
      <c r="AB137" s="21">
        <f t="shared" si="41"/>
        <v>0.32548847867063735</v>
      </c>
    </row>
    <row r="138" spans="1:28" ht="16" customHeight="1" x14ac:dyDescent="0.2">
      <c r="A138" t="s">
        <v>28</v>
      </c>
      <c r="B138" t="s">
        <v>29</v>
      </c>
      <c r="C138" t="s">
        <v>314</v>
      </c>
      <c r="D138" t="s">
        <v>315</v>
      </c>
      <c r="E138" t="s">
        <v>32</v>
      </c>
      <c r="F138" t="s">
        <v>38</v>
      </c>
      <c r="G138" t="s">
        <v>34</v>
      </c>
      <c r="H138" s="15">
        <v>17700</v>
      </c>
      <c r="I138" s="15">
        <f t="shared" si="42"/>
        <v>1.7520267336381934</v>
      </c>
      <c r="J138" s="17">
        <v>1.1299999999999999</v>
      </c>
      <c r="K138" s="17">
        <v>578000</v>
      </c>
      <c r="L138" s="11" t="s">
        <v>35</v>
      </c>
      <c r="M138" s="11" t="s">
        <v>35</v>
      </c>
      <c r="N138" s="14">
        <v>65</v>
      </c>
      <c r="O138" s="11">
        <v>250.26</v>
      </c>
      <c r="P138" s="13">
        <v>6.2549999999999999</v>
      </c>
      <c r="Q138" s="11">
        <f t="shared" si="31"/>
        <v>78.1875</v>
      </c>
      <c r="R138" s="20">
        <f t="shared" si="32"/>
        <v>31.242507791896429</v>
      </c>
      <c r="S138" s="20">
        <f t="shared" si="33"/>
        <v>0.31242507791896429</v>
      </c>
      <c r="T138" s="15">
        <f t="shared" si="34"/>
        <v>5529.923879165668</v>
      </c>
      <c r="U138" s="15">
        <f t="shared" si="35"/>
        <v>2.2572808468301733</v>
      </c>
      <c r="V138" s="21">
        <v>0.54200000000000004</v>
      </c>
      <c r="W138" s="20">
        <f t="shared" si="36"/>
        <v>7.7584812150279774</v>
      </c>
      <c r="X138" s="20">
        <f t="shared" si="37"/>
        <v>31.74</v>
      </c>
      <c r="Y138" s="21">
        <f t="shared" si="38"/>
        <v>0.14190346279943056</v>
      </c>
      <c r="Z138" s="21">
        <f t="shared" si="39"/>
        <v>0.5602683221051048</v>
      </c>
      <c r="AA138" s="21">
        <f t="shared" si="40"/>
        <v>1.0623200000000002</v>
      </c>
      <c r="AB138" s="21">
        <f t="shared" si="41"/>
        <v>1.0981259113260053</v>
      </c>
    </row>
    <row r="139" spans="1:28" ht="16" customHeight="1" x14ac:dyDescent="0.2">
      <c r="A139" t="s">
        <v>28</v>
      </c>
      <c r="B139" t="s">
        <v>29</v>
      </c>
      <c r="C139" t="s">
        <v>316</v>
      </c>
      <c r="D139" t="s">
        <v>317</v>
      </c>
      <c r="E139" t="s">
        <v>32</v>
      </c>
      <c r="F139" t="s">
        <v>33</v>
      </c>
      <c r="G139" t="s">
        <v>34</v>
      </c>
      <c r="H139" s="15">
        <v>64.7</v>
      </c>
      <c r="I139" s="15">
        <f t="shared" si="42"/>
        <v>4.1890957193312994</v>
      </c>
      <c r="J139" s="17">
        <v>1.05</v>
      </c>
      <c r="K139" s="17">
        <v>547000</v>
      </c>
      <c r="L139" s="11" t="s">
        <v>35</v>
      </c>
      <c r="M139" s="11" t="s">
        <v>35</v>
      </c>
      <c r="N139" s="14">
        <v>65</v>
      </c>
      <c r="O139" s="11">
        <v>250.39</v>
      </c>
      <c r="P139" s="13">
        <v>10.259</v>
      </c>
      <c r="Q139" s="11">
        <f t="shared" si="31"/>
        <v>128.23750000000001</v>
      </c>
      <c r="R139" s="20">
        <f t="shared" si="32"/>
        <v>51.215104437078161</v>
      </c>
      <c r="S139" s="20">
        <f t="shared" si="33"/>
        <v>0.51215104437078163</v>
      </c>
      <c r="T139" s="15">
        <f t="shared" si="34"/>
        <v>33.136172570789576</v>
      </c>
      <c r="U139" s="15">
        <f t="shared" si="35"/>
        <v>4.4796976566704894</v>
      </c>
      <c r="V139" s="21">
        <v>0.246</v>
      </c>
      <c r="W139" s="20">
        <f t="shared" si="36"/>
        <v>5.0660629691003018</v>
      </c>
      <c r="X139" s="20">
        <f t="shared" si="37"/>
        <v>31.74</v>
      </c>
      <c r="Y139" s="21">
        <f t="shared" si="38"/>
        <v>0.13958988048055979</v>
      </c>
      <c r="Z139" s="21">
        <f t="shared" si="39"/>
        <v>0.28284507196091813</v>
      </c>
      <c r="AA139" s="21">
        <f t="shared" si="40"/>
        <v>0.48215999999999998</v>
      </c>
      <c r="AB139" s="21">
        <f t="shared" si="41"/>
        <v>0.5543763410433995</v>
      </c>
    </row>
    <row r="140" spans="1:28" ht="16" customHeight="1" x14ac:dyDescent="0.2">
      <c r="A140" t="s">
        <v>28</v>
      </c>
      <c r="B140" t="s">
        <v>29</v>
      </c>
      <c r="C140" t="s">
        <v>318</v>
      </c>
      <c r="D140" t="s">
        <v>319</v>
      </c>
      <c r="E140" t="s">
        <v>32</v>
      </c>
      <c r="F140" t="s">
        <v>33</v>
      </c>
      <c r="G140" t="s">
        <v>34</v>
      </c>
      <c r="H140" s="15">
        <v>60</v>
      </c>
      <c r="I140" s="15">
        <f t="shared" si="42"/>
        <v>4.2218487496163561</v>
      </c>
      <c r="J140" s="17">
        <v>0.50700000000000001</v>
      </c>
      <c r="K140" s="17">
        <v>280000</v>
      </c>
      <c r="L140" s="11" t="s">
        <v>35</v>
      </c>
      <c r="M140" s="11" t="s">
        <v>35</v>
      </c>
      <c r="N140" s="14">
        <v>65</v>
      </c>
      <c r="O140" s="11">
        <v>249.63</v>
      </c>
      <c r="P140" s="13">
        <v>3.903</v>
      </c>
      <c r="Q140" s="11">
        <f t="shared" si="31"/>
        <v>48.787500000000001</v>
      </c>
      <c r="R140" s="20">
        <f t="shared" si="32"/>
        <v>19.543925009013343</v>
      </c>
      <c r="S140" s="20">
        <f t="shared" si="33"/>
        <v>0.19543925009013344</v>
      </c>
      <c r="T140" s="15">
        <f t="shared" si="34"/>
        <v>11.726355005408006</v>
      </c>
      <c r="U140" s="15">
        <f t="shared" si="35"/>
        <v>4.9308369620567367</v>
      </c>
      <c r="V140" s="21">
        <v>0.112</v>
      </c>
      <c r="W140" s="20">
        <f t="shared" si="36"/>
        <v>11.915598257750448</v>
      </c>
      <c r="X140" s="20">
        <f t="shared" si="37"/>
        <v>31.74</v>
      </c>
      <c r="Y140" s="21">
        <f t="shared" si="38"/>
        <v>0.14723858104668872</v>
      </c>
      <c r="Z140" s="21">
        <f t="shared" si="39"/>
        <v>0.1849951343918059</v>
      </c>
      <c r="AA140" s="21">
        <f t="shared" si="40"/>
        <v>0.21951999999999999</v>
      </c>
      <c r="AB140" s="21">
        <f t="shared" si="41"/>
        <v>0.36259046340793954</v>
      </c>
    </row>
    <row r="141" spans="1:28" ht="16" customHeight="1" x14ac:dyDescent="0.2">
      <c r="A141" t="s">
        <v>28</v>
      </c>
      <c r="B141" t="s">
        <v>29</v>
      </c>
      <c r="C141" t="s">
        <v>320</v>
      </c>
      <c r="D141" t="s">
        <v>321</v>
      </c>
      <c r="E141" t="s">
        <v>32</v>
      </c>
      <c r="F141" t="s">
        <v>33</v>
      </c>
      <c r="G141" t="s">
        <v>34</v>
      </c>
      <c r="H141" s="15">
        <v>93.9</v>
      </c>
      <c r="I141" s="15">
        <f t="shared" si="42"/>
        <v>4.0273344077338891</v>
      </c>
      <c r="J141" s="17">
        <v>0.85299999999999998</v>
      </c>
      <c r="K141" s="17">
        <v>458000</v>
      </c>
      <c r="L141" s="11" t="s">
        <v>35</v>
      </c>
      <c r="M141" s="11" t="s">
        <v>81</v>
      </c>
      <c r="N141" s="14">
        <v>65</v>
      </c>
      <c r="O141" s="11">
        <v>249.26</v>
      </c>
      <c r="P141" s="23" t="s">
        <v>82</v>
      </c>
      <c r="Q141" s="11" t="str">
        <f t="shared" si="31"/>
        <v>-</v>
      </c>
      <c r="R141" s="24" t="str">
        <f t="shared" si="32"/>
        <v>-</v>
      </c>
      <c r="S141" s="20" t="str">
        <f t="shared" si="33"/>
        <v>-</v>
      </c>
      <c r="T141" s="15" t="str">
        <f t="shared" si="34"/>
        <v>-</v>
      </c>
      <c r="U141" s="15" t="str">
        <f t="shared" si="35"/>
        <v>-</v>
      </c>
      <c r="V141" s="21">
        <v>0.27200000000000002</v>
      </c>
      <c r="W141" s="20" t="str">
        <f t="shared" si="36"/>
        <v>-</v>
      </c>
      <c r="X141" s="20" t="str">
        <f t="shared" si="37"/>
        <v>-</v>
      </c>
      <c r="Y141" s="21" t="str">
        <f t="shared" si="38"/>
        <v>-</v>
      </c>
      <c r="Z141" s="21" t="str">
        <f t="shared" si="39"/>
        <v>-</v>
      </c>
      <c r="AA141" s="21">
        <f t="shared" si="40"/>
        <v>0.53312000000000004</v>
      </c>
      <c r="AB141" s="21" t="str">
        <f t="shared" si="41"/>
        <v>-</v>
      </c>
    </row>
    <row r="142" spans="1:28" ht="16" customHeight="1" x14ac:dyDescent="0.2">
      <c r="A142" t="s">
        <v>28</v>
      </c>
      <c r="B142" t="s">
        <v>29</v>
      </c>
      <c r="C142" t="s">
        <v>322</v>
      </c>
      <c r="D142" t="s">
        <v>323</v>
      </c>
      <c r="E142" t="s">
        <v>32</v>
      </c>
      <c r="F142" t="s">
        <v>33</v>
      </c>
      <c r="G142" t="s">
        <v>34</v>
      </c>
      <c r="H142" s="15">
        <v>4.25</v>
      </c>
      <c r="I142" s="15">
        <f t="shared" si="42"/>
        <v>5.3716110699496884</v>
      </c>
      <c r="J142" s="17">
        <v>0.72699999999999998</v>
      </c>
      <c r="K142" s="17">
        <v>364000</v>
      </c>
      <c r="L142" s="11" t="s">
        <v>35</v>
      </c>
      <c r="M142" s="11" t="s">
        <v>35</v>
      </c>
      <c r="N142" s="14">
        <v>65</v>
      </c>
      <c r="O142" s="11">
        <v>249.71</v>
      </c>
      <c r="P142" s="13">
        <v>6.7779999999999996</v>
      </c>
      <c r="Q142" s="11">
        <f t="shared" si="31"/>
        <v>84.724999999999994</v>
      </c>
      <c r="R142" s="20">
        <f t="shared" si="32"/>
        <v>33.929358055344196</v>
      </c>
      <c r="S142" s="20">
        <f t="shared" si="33"/>
        <v>0.33929358055344194</v>
      </c>
      <c r="T142" s="15">
        <f t="shared" si="34"/>
        <v>1.4419977173521283</v>
      </c>
      <c r="U142" s="15">
        <f t="shared" si="35"/>
        <v>5.8410354270938152</v>
      </c>
      <c r="V142" s="21">
        <v>0.111</v>
      </c>
      <c r="W142" s="20">
        <f t="shared" si="36"/>
        <v>7.2261847152552381</v>
      </c>
      <c r="X142" s="20">
        <f t="shared" si="37"/>
        <v>31.74</v>
      </c>
      <c r="Y142" s="21">
        <f t="shared" si="38"/>
        <v>0.14137238303592628</v>
      </c>
      <c r="Z142" s="21">
        <f t="shared" si="39"/>
        <v>0.17974190019374073</v>
      </c>
      <c r="AA142" s="21">
        <f t="shared" si="40"/>
        <v>0.21756</v>
      </c>
      <c r="AB142" s="21">
        <f t="shared" si="41"/>
        <v>0.35229412437973184</v>
      </c>
    </row>
    <row r="143" spans="1:28" ht="16" customHeight="1" x14ac:dyDescent="0.2">
      <c r="A143" t="s">
        <v>28</v>
      </c>
      <c r="B143" t="s">
        <v>29</v>
      </c>
      <c r="C143" t="s">
        <v>324</v>
      </c>
      <c r="D143" t="s">
        <v>325</v>
      </c>
      <c r="E143" t="s">
        <v>32</v>
      </c>
      <c r="F143" t="s">
        <v>33</v>
      </c>
      <c r="G143" t="s">
        <v>34</v>
      </c>
      <c r="H143" s="15">
        <v>423</v>
      </c>
      <c r="I143" s="15">
        <f t="shared" si="42"/>
        <v>3.3736596326249577</v>
      </c>
      <c r="J143" s="17">
        <v>1.19</v>
      </c>
      <c r="K143" s="17">
        <v>604000</v>
      </c>
      <c r="L143" s="11" t="s">
        <v>35</v>
      </c>
      <c r="M143" s="11" t="s">
        <v>35</v>
      </c>
      <c r="N143" s="14">
        <v>65</v>
      </c>
      <c r="O143" s="11">
        <v>249.23</v>
      </c>
      <c r="P143" s="13">
        <v>2.661</v>
      </c>
      <c r="Q143" s="11">
        <f t="shared" si="31"/>
        <v>33.262500000000003</v>
      </c>
      <c r="R143" s="20">
        <f t="shared" si="32"/>
        <v>13.346106006500023</v>
      </c>
      <c r="S143" s="20">
        <f t="shared" si="33"/>
        <v>0.13346106006500022</v>
      </c>
      <c r="T143" s="15">
        <f t="shared" si="34"/>
        <v>56.454028407495095</v>
      </c>
      <c r="U143" s="15">
        <f t="shared" si="35"/>
        <v>4.2483050625481518</v>
      </c>
      <c r="V143" s="21">
        <v>0.33</v>
      </c>
      <c r="W143" s="20">
        <f t="shared" si="36"/>
        <v>17.075708380308154</v>
      </c>
      <c r="X143" s="20">
        <f t="shared" si="37"/>
        <v>31.74</v>
      </c>
      <c r="Y143" s="21">
        <f t="shared" si="38"/>
        <v>0.15652731176776991</v>
      </c>
      <c r="Z143" s="21">
        <f t="shared" si="39"/>
        <v>0.36524074160647063</v>
      </c>
      <c r="AA143" s="21">
        <f t="shared" si="40"/>
        <v>0.64680000000000004</v>
      </c>
      <c r="AB143" s="21">
        <f t="shared" si="41"/>
        <v>0.71587185354868244</v>
      </c>
    </row>
    <row r="144" spans="1:28" ht="16" customHeight="1" x14ac:dyDescent="0.2">
      <c r="A144" t="s">
        <v>28</v>
      </c>
      <c r="B144" t="s">
        <v>29</v>
      </c>
      <c r="C144" t="s">
        <v>326</v>
      </c>
      <c r="D144" t="s">
        <v>327</v>
      </c>
      <c r="E144" t="s">
        <v>32</v>
      </c>
      <c r="F144" t="s">
        <v>33</v>
      </c>
      <c r="G144" t="s">
        <v>34</v>
      </c>
      <c r="H144" s="15">
        <v>74.3</v>
      </c>
      <c r="I144" s="15">
        <f t="shared" si="42"/>
        <v>4.129011186239425</v>
      </c>
      <c r="J144" s="17">
        <v>0.71299999999999997</v>
      </c>
      <c r="K144" s="17">
        <v>400000</v>
      </c>
      <c r="L144" s="11" t="s">
        <v>35</v>
      </c>
      <c r="M144" s="11" t="s">
        <v>81</v>
      </c>
      <c r="N144" s="14">
        <v>65</v>
      </c>
      <c r="O144" s="11">
        <v>250.86</v>
      </c>
      <c r="P144" s="23" t="s">
        <v>82</v>
      </c>
      <c r="Q144" s="11" t="str">
        <f t="shared" si="31"/>
        <v>-</v>
      </c>
      <c r="R144" s="24" t="str">
        <f t="shared" si="32"/>
        <v>-</v>
      </c>
      <c r="S144" s="20" t="str">
        <f t="shared" si="33"/>
        <v>-</v>
      </c>
      <c r="T144" s="15" t="str">
        <f t="shared" si="34"/>
        <v>-</v>
      </c>
      <c r="U144" s="15" t="str">
        <f t="shared" si="35"/>
        <v>-</v>
      </c>
      <c r="V144" s="21">
        <v>0.23799999999999999</v>
      </c>
      <c r="W144" s="20" t="str">
        <f t="shared" si="36"/>
        <v>-</v>
      </c>
      <c r="X144" s="20" t="str">
        <f t="shared" si="37"/>
        <v>-</v>
      </c>
      <c r="Y144" s="21" t="str">
        <f t="shared" si="38"/>
        <v>-</v>
      </c>
      <c r="Z144" s="21" t="str">
        <f t="shared" si="39"/>
        <v>-</v>
      </c>
      <c r="AA144" s="21">
        <f t="shared" si="40"/>
        <v>0.46647999999999995</v>
      </c>
      <c r="AB144" s="21" t="str">
        <f t="shared" si="41"/>
        <v>-</v>
      </c>
    </row>
    <row r="145" spans="1:28" ht="16" customHeight="1" x14ac:dyDescent="0.2">
      <c r="A145" t="s">
        <v>28</v>
      </c>
      <c r="B145" t="s">
        <v>29</v>
      </c>
      <c r="C145" t="s">
        <v>328</v>
      </c>
      <c r="D145" t="s">
        <v>329</v>
      </c>
      <c r="E145" t="s">
        <v>32</v>
      </c>
      <c r="F145" t="s">
        <v>33</v>
      </c>
      <c r="G145" t="s">
        <v>34</v>
      </c>
      <c r="H145" s="15">
        <v>121</v>
      </c>
      <c r="I145" s="15">
        <f t="shared" si="42"/>
        <v>3.9172146296835497</v>
      </c>
      <c r="J145" s="17">
        <v>1.07</v>
      </c>
      <c r="K145" s="17">
        <v>492000</v>
      </c>
      <c r="L145" s="11" t="s">
        <v>35</v>
      </c>
      <c r="M145" s="11" t="s">
        <v>35</v>
      </c>
      <c r="N145" s="14">
        <v>65</v>
      </c>
      <c r="O145" s="11">
        <v>250.64</v>
      </c>
      <c r="P145" s="13">
        <v>3.2160000000000002</v>
      </c>
      <c r="Q145" s="11">
        <f t="shared" si="31"/>
        <v>40.200000000000003</v>
      </c>
      <c r="R145" s="20">
        <f t="shared" si="32"/>
        <v>16.038940312799234</v>
      </c>
      <c r="S145" s="20">
        <f t="shared" si="33"/>
        <v>0.16038940312799232</v>
      </c>
      <c r="T145" s="15">
        <f t="shared" si="34"/>
        <v>19.40711777848707</v>
      </c>
      <c r="U145" s="15">
        <f t="shared" si="35"/>
        <v>4.7120389584727285</v>
      </c>
      <c r="V145" s="21">
        <v>0.307</v>
      </c>
      <c r="W145" s="20">
        <f t="shared" si="36"/>
        <v>14.277288557213929</v>
      </c>
      <c r="X145" s="20">
        <f t="shared" si="37"/>
        <v>31.74</v>
      </c>
      <c r="Y145" s="21">
        <f t="shared" si="38"/>
        <v>0.15114874139412485</v>
      </c>
      <c r="Z145" s="21">
        <f t="shared" si="39"/>
        <v>0.34219138216066758</v>
      </c>
      <c r="AA145" s="21">
        <f t="shared" si="40"/>
        <v>0.60172000000000003</v>
      </c>
      <c r="AB145" s="21">
        <f t="shared" si="41"/>
        <v>0.67069510903490848</v>
      </c>
    </row>
    <row r="146" spans="1:28" ht="16" customHeight="1" x14ac:dyDescent="0.2">
      <c r="A146" t="s">
        <v>28</v>
      </c>
      <c r="B146" t="s">
        <v>29</v>
      </c>
      <c r="C146" t="s">
        <v>330</v>
      </c>
      <c r="D146" t="s">
        <v>331</v>
      </c>
      <c r="E146" t="s">
        <v>32</v>
      </c>
      <c r="F146" t="s">
        <v>33</v>
      </c>
      <c r="G146" t="s">
        <v>34</v>
      </c>
      <c r="H146" s="15">
        <v>129</v>
      </c>
      <c r="I146" s="15">
        <f t="shared" si="42"/>
        <v>3.8894102897007512</v>
      </c>
      <c r="J146" s="17">
        <v>0.86499999999999999</v>
      </c>
      <c r="K146" s="17">
        <v>416000</v>
      </c>
      <c r="L146" s="11" t="s">
        <v>35</v>
      </c>
      <c r="M146" s="11" t="s">
        <v>35</v>
      </c>
      <c r="N146" s="14">
        <v>65</v>
      </c>
      <c r="O146" s="11">
        <v>250.5</v>
      </c>
      <c r="P146" s="13">
        <v>12.35</v>
      </c>
      <c r="Q146" s="11">
        <f t="shared" si="31"/>
        <v>154.375</v>
      </c>
      <c r="R146" s="20">
        <f t="shared" si="32"/>
        <v>61.626746506986031</v>
      </c>
      <c r="S146" s="20">
        <f t="shared" si="33"/>
        <v>0.6162674650698603</v>
      </c>
      <c r="T146" s="15">
        <f t="shared" si="34"/>
        <v>79.498502994011972</v>
      </c>
      <c r="U146" s="15">
        <f t="shared" si="35"/>
        <v>4.0996410493002751</v>
      </c>
      <c r="V146" s="21">
        <v>0.30099999999999999</v>
      </c>
      <c r="W146" s="20">
        <f t="shared" si="36"/>
        <v>4.3539271255060727</v>
      </c>
      <c r="X146" s="20">
        <f t="shared" si="37"/>
        <v>31.74</v>
      </c>
      <c r="Y146" s="21">
        <f t="shared" si="38"/>
        <v>0.13913593392922671</v>
      </c>
      <c r="Z146" s="21">
        <f t="shared" si="39"/>
        <v>0.3316018819463456</v>
      </c>
      <c r="AA146" s="21">
        <f t="shared" si="40"/>
        <v>0.58995999999999993</v>
      </c>
      <c r="AB146" s="21">
        <f t="shared" si="41"/>
        <v>0.64993968861483742</v>
      </c>
    </row>
    <row r="147" spans="1:28" ht="16" customHeight="1" x14ac:dyDescent="0.2">
      <c r="A147" t="s">
        <v>28</v>
      </c>
      <c r="B147" t="s">
        <v>29</v>
      </c>
      <c r="C147" t="s">
        <v>332</v>
      </c>
      <c r="D147" t="s">
        <v>333</v>
      </c>
      <c r="E147" t="s">
        <v>32</v>
      </c>
      <c r="F147" t="s">
        <v>33</v>
      </c>
      <c r="G147" t="s">
        <v>34</v>
      </c>
      <c r="H147" s="15">
        <v>56</v>
      </c>
      <c r="I147" s="15">
        <f t="shared" si="42"/>
        <v>4.2518119729937993</v>
      </c>
      <c r="J147" s="17">
        <v>0.81200000000000006</v>
      </c>
      <c r="K147" s="17">
        <v>441000</v>
      </c>
      <c r="L147" s="11" t="s">
        <v>247</v>
      </c>
      <c r="M147" s="11" t="s">
        <v>247</v>
      </c>
      <c r="N147" s="14">
        <v>20</v>
      </c>
      <c r="O147" s="11">
        <v>498.58</v>
      </c>
      <c r="P147" s="13">
        <v>1.47</v>
      </c>
      <c r="Q147" s="11">
        <f t="shared" si="31"/>
        <v>18.375</v>
      </c>
      <c r="R147" s="20">
        <f t="shared" si="32"/>
        <v>3.6854667255004214</v>
      </c>
      <c r="S147" s="20">
        <f t="shared" si="33"/>
        <v>3.6854667255004213E-2</v>
      </c>
      <c r="T147" s="15">
        <f t="shared" si="34"/>
        <v>2.0638613662802361</v>
      </c>
      <c r="U147" s="15">
        <f t="shared" si="35"/>
        <v>5.6853194784990873</v>
      </c>
      <c r="V147" s="21">
        <v>0.23799999999999999</v>
      </c>
      <c r="W147" s="20">
        <f t="shared" si="36"/>
        <v>30.21374149659864</v>
      </c>
      <c r="X147" s="20">
        <f t="shared" si="37"/>
        <v>31.74</v>
      </c>
      <c r="Y147" s="21">
        <f t="shared" si="38"/>
        <v>0.19031306370096898</v>
      </c>
      <c r="Z147" s="21">
        <f t="shared" si="39"/>
        <v>0.3047344125878288</v>
      </c>
      <c r="AA147" s="21">
        <f t="shared" si="40"/>
        <v>0.46647999999999995</v>
      </c>
      <c r="AB147" s="21">
        <f t="shared" si="41"/>
        <v>0.59727944867214444</v>
      </c>
    </row>
    <row r="148" spans="1:28" ht="16" customHeight="1" x14ac:dyDescent="0.2">
      <c r="A148" t="s">
        <v>28</v>
      </c>
      <c r="B148" t="s">
        <v>29</v>
      </c>
      <c r="C148" t="s">
        <v>334</v>
      </c>
      <c r="D148" t="s">
        <v>335</v>
      </c>
      <c r="E148" t="s">
        <v>32</v>
      </c>
      <c r="F148" t="s">
        <v>33</v>
      </c>
      <c r="G148" t="s">
        <v>34</v>
      </c>
      <c r="H148" s="15">
        <v>38.700000000000003</v>
      </c>
      <c r="I148" s="15">
        <f t="shared" si="42"/>
        <v>4.4122890349810886</v>
      </c>
      <c r="J148" s="17">
        <v>1.1100000000000001</v>
      </c>
      <c r="K148" s="17">
        <v>563000</v>
      </c>
      <c r="L148" s="11" t="s">
        <v>35</v>
      </c>
      <c r="M148" s="11" t="s">
        <v>81</v>
      </c>
      <c r="N148" s="14">
        <v>65</v>
      </c>
      <c r="O148" s="11">
        <v>249.07</v>
      </c>
      <c r="P148" s="23" t="s">
        <v>82</v>
      </c>
      <c r="Q148" s="11" t="str">
        <f t="shared" si="31"/>
        <v>-</v>
      </c>
      <c r="R148" s="24" t="str">
        <f t="shared" si="32"/>
        <v>-</v>
      </c>
      <c r="S148" s="20" t="str">
        <f t="shared" si="33"/>
        <v>-</v>
      </c>
      <c r="T148" s="15" t="str">
        <f t="shared" si="34"/>
        <v>-</v>
      </c>
      <c r="U148" s="15" t="str">
        <f t="shared" si="35"/>
        <v>-</v>
      </c>
      <c r="V148" s="21">
        <v>0.17199999999999999</v>
      </c>
      <c r="W148" s="20" t="str">
        <f t="shared" si="36"/>
        <v>-</v>
      </c>
      <c r="X148" s="20" t="str">
        <f t="shared" si="37"/>
        <v>-</v>
      </c>
      <c r="Y148" s="21" t="str">
        <f t="shared" si="38"/>
        <v>-</v>
      </c>
      <c r="Z148" s="21" t="str">
        <f t="shared" si="39"/>
        <v>-</v>
      </c>
      <c r="AA148" s="21">
        <f t="shared" si="40"/>
        <v>0.33711999999999998</v>
      </c>
      <c r="AB148" s="21" t="str">
        <f t="shared" si="41"/>
        <v>-</v>
      </c>
    </row>
    <row r="149" spans="1:28" ht="16" customHeight="1" x14ac:dyDescent="0.2">
      <c r="A149" t="s">
        <v>28</v>
      </c>
      <c r="B149" t="s">
        <v>29</v>
      </c>
      <c r="C149" t="s">
        <v>336</v>
      </c>
      <c r="D149" t="s">
        <v>337</v>
      </c>
      <c r="E149" t="s">
        <v>32</v>
      </c>
      <c r="F149" t="s">
        <v>33</v>
      </c>
      <c r="G149" t="s">
        <v>34</v>
      </c>
      <c r="H149" s="15">
        <v>1200</v>
      </c>
      <c r="I149" s="15">
        <f t="shared" si="42"/>
        <v>2.9208187539523753</v>
      </c>
      <c r="J149" s="17">
        <v>1.25</v>
      </c>
      <c r="K149" s="17">
        <v>631000</v>
      </c>
      <c r="L149" s="11" t="s">
        <v>35</v>
      </c>
      <c r="M149" s="11" t="s">
        <v>35</v>
      </c>
      <c r="N149" s="14">
        <v>65</v>
      </c>
      <c r="O149" s="11">
        <v>249.9</v>
      </c>
      <c r="P149" s="13">
        <v>5.3460000000000001</v>
      </c>
      <c r="Q149" s="11">
        <f t="shared" si="31"/>
        <v>66.825000000000003</v>
      </c>
      <c r="R149" s="20">
        <f t="shared" si="32"/>
        <v>26.740696278511404</v>
      </c>
      <c r="S149" s="20">
        <f t="shared" si="33"/>
        <v>0.26740696278511406</v>
      </c>
      <c r="T149" s="15">
        <f t="shared" si="34"/>
        <v>320.88835534213689</v>
      </c>
      <c r="U149" s="15">
        <f t="shared" si="35"/>
        <v>3.4936460426502505</v>
      </c>
      <c r="V149" s="21">
        <v>0.247</v>
      </c>
      <c r="W149" s="20">
        <f t="shared" si="36"/>
        <v>8.9314552936775158</v>
      </c>
      <c r="X149" s="20">
        <f t="shared" si="37"/>
        <v>31.74</v>
      </c>
      <c r="Y149" s="21">
        <f t="shared" si="38"/>
        <v>0.14319858689185491</v>
      </c>
      <c r="Z149" s="21">
        <f t="shared" si="39"/>
        <v>0.28550803016346865</v>
      </c>
      <c r="AA149" s="21">
        <f t="shared" si="40"/>
        <v>0.48411999999999999</v>
      </c>
      <c r="AB149" s="21">
        <f t="shared" si="41"/>
        <v>0.55959573912039851</v>
      </c>
    </row>
    <row r="150" spans="1:28" ht="16" customHeight="1" x14ac:dyDescent="0.2">
      <c r="A150" t="s">
        <v>28</v>
      </c>
      <c r="B150" t="s">
        <v>29</v>
      </c>
      <c r="C150" t="s">
        <v>338</v>
      </c>
      <c r="D150" t="s">
        <v>339</v>
      </c>
      <c r="E150" t="s">
        <v>32</v>
      </c>
      <c r="F150" t="s">
        <v>33</v>
      </c>
      <c r="G150" t="s">
        <v>34</v>
      </c>
      <c r="H150" s="15">
        <v>31.1</v>
      </c>
      <c r="I150" s="15">
        <f t="shared" si="42"/>
        <v>4.5072396109731629</v>
      </c>
      <c r="J150" s="17">
        <v>0.76300000000000001</v>
      </c>
      <c r="K150" s="17">
        <v>421000</v>
      </c>
      <c r="L150" s="11" t="s">
        <v>35</v>
      </c>
      <c r="M150" s="11" t="s">
        <v>35</v>
      </c>
      <c r="N150" s="14">
        <v>65</v>
      </c>
      <c r="O150" s="11">
        <v>250.05</v>
      </c>
      <c r="P150" s="13">
        <v>9.5530000000000008</v>
      </c>
      <c r="Q150" s="11">
        <f t="shared" si="31"/>
        <v>119.41250000000001</v>
      </c>
      <c r="R150" s="20">
        <f t="shared" si="32"/>
        <v>47.755448910217957</v>
      </c>
      <c r="S150" s="20">
        <f t="shared" si="33"/>
        <v>0.47755448910217957</v>
      </c>
      <c r="T150" s="15">
        <f t="shared" si="34"/>
        <v>14.851944611077785</v>
      </c>
      <c r="U150" s="15">
        <f t="shared" si="35"/>
        <v>4.8282166791030381</v>
      </c>
      <c r="V150" s="21">
        <v>0.23799999999999999</v>
      </c>
      <c r="W150" s="20">
        <f t="shared" si="36"/>
        <v>5.3769056840782996</v>
      </c>
      <c r="X150" s="20">
        <f t="shared" si="37"/>
        <v>31.74</v>
      </c>
      <c r="Y150" s="21">
        <f t="shared" si="38"/>
        <v>0.13980901389577585</v>
      </c>
      <c r="Z150" s="21">
        <f t="shared" si="39"/>
        <v>0.27602637621522552</v>
      </c>
      <c r="AA150" s="21">
        <f t="shared" si="40"/>
        <v>0.46647999999999995</v>
      </c>
      <c r="AB150" s="21">
        <f t="shared" si="41"/>
        <v>0.54101169738184196</v>
      </c>
    </row>
    <row r="151" spans="1:28" ht="16" customHeight="1" x14ac:dyDescent="0.2">
      <c r="A151" t="s">
        <v>28</v>
      </c>
      <c r="B151" t="s">
        <v>29</v>
      </c>
      <c r="C151" t="s">
        <v>340</v>
      </c>
      <c r="D151" t="s">
        <v>341</v>
      </c>
      <c r="E151" t="s">
        <v>32</v>
      </c>
      <c r="F151" t="s">
        <v>33</v>
      </c>
      <c r="G151" t="s">
        <v>34</v>
      </c>
      <c r="H151" s="15">
        <v>24.1</v>
      </c>
      <c r="I151" s="15">
        <f t="shared" si="42"/>
        <v>4.6179829574251317</v>
      </c>
      <c r="J151" s="17">
        <v>0.96299999999999997</v>
      </c>
      <c r="K151" s="17">
        <v>504000</v>
      </c>
      <c r="L151" s="11" t="s">
        <v>35</v>
      </c>
      <c r="M151" s="11" t="s">
        <v>35</v>
      </c>
      <c r="N151" s="14">
        <v>65</v>
      </c>
      <c r="O151" s="11">
        <v>249.27</v>
      </c>
      <c r="P151" s="13">
        <v>16.768999999999998</v>
      </c>
      <c r="Q151" s="11">
        <f t="shared" si="31"/>
        <v>209.61249999999998</v>
      </c>
      <c r="R151" s="20">
        <f t="shared" si="32"/>
        <v>84.090544389617676</v>
      </c>
      <c r="S151" s="20">
        <f t="shared" si="33"/>
        <v>0.84090544389617672</v>
      </c>
      <c r="T151" s="15">
        <f t="shared" si="34"/>
        <v>20.265821197897861</v>
      </c>
      <c r="U151" s="15">
        <f t="shared" si="35"/>
        <v>4.6932357933785083</v>
      </c>
      <c r="V151" s="21">
        <v>0.28199999999999997</v>
      </c>
      <c r="W151" s="20">
        <f t="shared" si="36"/>
        <v>3.4332005486314032</v>
      </c>
      <c r="X151" s="20">
        <f t="shared" si="37"/>
        <v>31.74</v>
      </c>
      <c r="Y151" s="21">
        <f t="shared" si="38"/>
        <v>0.13864911469331107</v>
      </c>
      <c r="Z151" s="21">
        <f t="shared" si="39"/>
        <v>0.31424127196350088</v>
      </c>
      <c r="AA151" s="21">
        <f t="shared" si="40"/>
        <v>0.55271999999999999</v>
      </c>
      <c r="AB151" s="21">
        <f t="shared" si="41"/>
        <v>0.61591289304846175</v>
      </c>
    </row>
    <row r="152" spans="1:28" ht="16" customHeight="1" x14ac:dyDescent="0.2">
      <c r="A152" t="s">
        <v>28</v>
      </c>
      <c r="B152" t="s">
        <v>29</v>
      </c>
      <c r="C152" t="s">
        <v>342</v>
      </c>
      <c r="D152" t="s">
        <v>343</v>
      </c>
      <c r="E152" t="s">
        <v>32</v>
      </c>
      <c r="F152" t="s">
        <v>33</v>
      </c>
      <c r="G152" t="s">
        <v>34</v>
      </c>
      <c r="H152" s="15">
        <v>110</v>
      </c>
      <c r="I152" s="15">
        <f t="shared" si="42"/>
        <v>3.9586073148417751</v>
      </c>
      <c r="J152" s="17">
        <v>0.74199999999999999</v>
      </c>
      <c r="K152" s="17">
        <v>415000</v>
      </c>
      <c r="L152" s="11" t="s">
        <v>247</v>
      </c>
      <c r="M152" s="11" t="s">
        <v>247</v>
      </c>
      <c r="N152" s="14">
        <v>20</v>
      </c>
      <c r="O152" s="11">
        <v>501.1</v>
      </c>
      <c r="P152" s="13">
        <v>6.31</v>
      </c>
      <c r="Q152" s="11">
        <f t="shared" si="31"/>
        <v>78.875</v>
      </c>
      <c r="R152" s="20">
        <f t="shared" si="32"/>
        <v>15.740371183396526</v>
      </c>
      <c r="S152" s="20">
        <f t="shared" si="33"/>
        <v>0.15740371183396526</v>
      </c>
      <c r="T152" s="15">
        <f t="shared" si="34"/>
        <v>17.314408301736179</v>
      </c>
      <c r="U152" s="15">
        <f t="shared" si="35"/>
        <v>4.761592345332061</v>
      </c>
      <c r="V152" s="21">
        <v>0.28100000000000003</v>
      </c>
      <c r="W152" s="20">
        <f t="shared" si="36"/>
        <v>7.6983518225039624</v>
      </c>
      <c r="X152" s="20">
        <f t="shared" si="37"/>
        <v>31.74</v>
      </c>
      <c r="Y152" s="21">
        <f t="shared" si="38"/>
        <v>0.14184168285485693</v>
      </c>
      <c r="Z152" s="21">
        <f t="shared" si="39"/>
        <v>0.3147698571894994</v>
      </c>
      <c r="AA152" s="21">
        <f t="shared" si="40"/>
        <v>0.55076000000000003</v>
      </c>
      <c r="AB152" s="21">
        <f t="shared" si="41"/>
        <v>0.61694892009141877</v>
      </c>
    </row>
    <row r="153" spans="1:28" ht="16" customHeight="1" x14ac:dyDescent="0.2">
      <c r="A153" t="s">
        <v>28</v>
      </c>
      <c r="B153" t="s">
        <v>29</v>
      </c>
      <c r="C153" t="s">
        <v>344</v>
      </c>
      <c r="D153" t="s">
        <v>345</v>
      </c>
      <c r="E153" t="s">
        <v>32</v>
      </c>
      <c r="F153" t="s">
        <v>33</v>
      </c>
      <c r="G153" t="s">
        <v>34</v>
      </c>
      <c r="H153" s="15">
        <v>19</v>
      </c>
      <c r="I153" s="15">
        <f t="shared" si="42"/>
        <v>4.7212463990471711</v>
      </c>
      <c r="J153" s="17">
        <v>0.63100000000000001</v>
      </c>
      <c r="K153" s="17">
        <v>367000</v>
      </c>
      <c r="L153" s="11" t="s">
        <v>35</v>
      </c>
      <c r="M153" s="11" t="s">
        <v>35</v>
      </c>
      <c r="N153" s="14">
        <v>65</v>
      </c>
      <c r="O153" s="11">
        <v>249.79</v>
      </c>
      <c r="P153" s="13">
        <v>11.968</v>
      </c>
      <c r="Q153" s="11">
        <f t="shared" si="31"/>
        <v>149.6</v>
      </c>
      <c r="R153" s="20">
        <f t="shared" si="32"/>
        <v>59.890307858601219</v>
      </c>
      <c r="S153" s="20">
        <f t="shared" si="33"/>
        <v>0.59890307858601222</v>
      </c>
      <c r="T153" s="15">
        <f t="shared" si="34"/>
        <v>11.379158493134232</v>
      </c>
      <c r="U153" s="15">
        <f t="shared" si="35"/>
        <v>4.9438898535210178</v>
      </c>
      <c r="V153" s="21">
        <v>0.247</v>
      </c>
      <c r="W153" s="20">
        <f t="shared" si="36"/>
        <v>4.4654478609625672</v>
      </c>
      <c r="X153" s="20">
        <f t="shared" si="37"/>
        <v>31.74</v>
      </c>
      <c r="Y153" s="21">
        <f t="shared" si="38"/>
        <v>0.13920258217890311</v>
      </c>
      <c r="Z153" s="21">
        <f t="shared" si="39"/>
        <v>0.28352488230360712</v>
      </c>
      <c r="AA153" s="21">
        <f t="shared" si="40"/>
        <v>0.48411999999999999</v>
      </c>
      <c r="AB153" s="21">
        <f t="shared" si="41"/>
        <v>0.55570876931506996</v>
      </c>
    </row>
    <row r="154" spans="1:28" ht="16" customHeight="1" x14ac:dyDescent="0.2">
      <c r="A154" t="s">
        <v>28</v>
      </c>
      <c r="B154" t="s">
        <v>29</v>
      </c>
      <c r="C154" t="s">
        <v>346</v>
      </c>
      <c r="D154" t="s">
        <v>347</v>
      </c>
      <c r="E154" t="s">
        <v>32</v>
      </c>
      <c r="F154" t="s">
        <v>33</v>
      </c>
      <c r="G154" t="s">
        <v>34</v>
      </c>
      <c r="H154" s="15">
        <v>140</v>
      </c>
      <c r="I154" s="15">
        <f t="shared" si="42"/>
        <v>3.8538719643217618</v>
      </c>
      <c r="J154" s="17">
        <v>0.872</v>
      </c>
      <c r="K154" s="17">
        <v>470000</v>
      </c>
      <c r="L154" s="11" t="s">
        <v>35</v>
      </c>
      <c r="M154" s="11" t="s">
        <v>35</v>
      </c>
      <c r="N154" s="14">
        <v>65</v>
      </c>
      <c r="O154" s="11">
        <v>249.91</v>
      </c>
      <c r="P154" s="13">
        <v>12.807</v>
      </c>
      <c r="Q154" s="11">
        <f t="shared" si="31"/>
        <v>160.08750000000001</v>
      </c>
      <c r="R154" s="20">
        <f t="shared" si="32"/>
        <v>64.058060901924691</v>
      </c>
      <c r="S154" s="20">
        <f t="shared" si="33"/>
        <v>0.64058060901924696</v>
      </c>
      <c r="T154" s="15">
        <f t="shared" si="34"/>
        <v>89.681285262694573</v>
      </c>
      <c r="U154" s="15">
        <f t="shared" si="35"/>
        <v>4.0472981762996101</v>
      </c>
      <c r="V154" s="21">
        <v>0.30299999999999999</v>
      </c>
      <c r="W154" s="20">
        <f t="shared" si="36"/>
        <v>4.2292511907550558</v>
      </c>
      <c r="X154" s="20">
        <f t="shared" si="37"/>
        <v>31.74</v>
      </c>
      <c r="Y154" s="21">
        <f t="shared" si="38"/>
        <v>0.13906338294115045</v>
      </c>
      <c r="Z154" s="21">
        <f t="shared" si="39"/>
        <v>0.33338809888032456</v>
      </c>
      <c r="AA154" s="21">
        <f t="shared" si="40"/>
        <v>0.59387999999999996</v>
      </c>
      <c r="AB154" s="21">
        <f t="shared" si="41"/>
        <v>0.65344067380543613</v>
      </c>
    </row>
    <row r="155" spans="1:28" ht="16" customHeight="1" x14ac:dyDescent="0.2">
      <c r="A155" t="s">
        <v>28</v>
      </c>
      <c r="B155" t="s">
        <v>29</v>
      </c>
      <c r="C155" t="s">
        <v>348</v>
      </c>
      <c r="D155" t="s">
        <v>349</v>
      </c>
      <c r="E155" t="s">
        <v>32</v>
      </c>
      <c r="F155" t="s">
        <v>38</v>
      </c>
      <c r="G155" t="s">
        <v>34</v>
      </c>
      <c r="H155" s="15">
        <v>17800</v>
      </c>
      <c r="I155" s="15">
        <f t="shared" si="42"/>
        <v>1.7495799976911059</v>
      </c>
      <c r="J155" s="17">
        <v>1.1299999999999999</v>
      </c>
      <c r="K155" s="17">
        <v>580000</v>
      </c>
      <c r="L155" s="11" t="s">
        <v>35</v>
      </c>
      <c r="M155" s="11" t="s">
        <v>35</v>
      </c>
      <c r="N155" s="14">
        <v>65</v>
      </c>
      <c r="O155" s="11">
        <v>249.77</v>
      </c>
      <c r="P155" s="13">
        <v>13.709</v>
      </c>
      <c r="Q155" s="11">
        <f t="shared" si="31"/>
        <v>171.36249999999998</v>
      </c>
      <c r="R155" s="20">
        <f t="shared" si="32"/>
        <v>68.60811946991231</v>
      </c>
      <c r="S155" s="20">
        <f t="shared" si="33"/>
        <v>0.6860811946991231</v>
      </c>
      <c r="T155" s="15">
        <f t="shared" si="34"/>
        <v>12212.245265644391</v>
      </c>
      <c r="U155" s="15">
        <f t="shared" si="35"/>
        <v>1.9132044820964085</v>
      </c>
      <c r="V155" s="21">
        <v>0.53900000000000003</v>
      </c>
      <c r="W155" s="20">
        <f t="shared" si="36"/>
        <v>4.0075672915602887</v>
      </c>
      <c r="X155" s="20">
        <f t="shared" si="37"/>
        <v>31.74</v>
      </c>
      <c r="Y155" s="21">
        <f t="shared" si="38"/>
        <v>0.13893949958265595</v>
      </c>
      <c r="Z155" s="21">
        <f t="shared" si="39"/>
        <v>0.55661942523081143</v>
      </c>
      <c r="AA155" s="21">
        <f t="shared" si="40"/>
        <v>1.05644</v>
      </c>
      <c r="AB155" s="21">
        <f t="shared" si="41"/>
        <v>1.0909740734523903</v>
      </c>
    </row>
    <row r="156" spans="1:28" ht="16" customHeight="1" x14ac:dyDescent="0.2">
      <c r="A156" t="s">
        <v>28</v>
      </c>
      <c r="B156" t="s">
        <v>29</v>
      </c>
      <c r="C156" t="s">
        <v>350</v>
      </c>
      <c r="D156" t="s">
        <v>351</v>
      </c>
      <c r="E156" t="s">
        <v>32</v>
      </c>
      <c r="F156" t="s">
        <v>33</v>
      </c>
      <c r="G156" t="s">
        <v>34</v>
      </c>
      <c r="H156" s="15">
        <v>25</v>
      </c>
      <c r="I156" s="15">
        <f t="shared" si="42"/>
        <v>4.6020599913279625</v>
      </c>
      <c r="J156" s="17">
        <v>0.73099999999999998</v>
      </c>
      <c r="K156" s="17">
        <v>409000</v>
      </c>
      <c r="L156" s="11" t="s">
        <v>35</v>
      </c>
      <c r="M156" s="11" t="s">
        <v>35</v>
      </c>
      <c r="N156" s="14">
        <v>65</v>
      </c>
      <c r="O156" s="11">
        <v>250.1</v>
      </c>
      <c r="P156" s="13">
        <v>14.401999999999999</v>
      </c>
      <c r="Q156" s="11">
        <f t="shared" si="31"/>
        <v>180.02499999999998</v>
      </c>
      <c r="R156" s="20">
        <f t="shared" si="32"/>
        <v>71.981207516993194</v>
      </c>
      <c r="S156" s="20">
        <f t="shared" si="33"/>
        <v>0.71981207516993195</v>
      </c>
      <c r="T156" s="15">
        <f t="shared" si="34"/>
        <v>17.995301879248299</v>
      </c>
      <c r="U156" s="15">
        <f t="shared" si="35"/>
        <v>4.7448408634655257</v>
      </c>
      <c r="V156" s="21">
        <v>0.214</v>
      </c>
      <c r="W156" s="20">
        <f t="shared" si="36"/>
        <v>3.8561116511595612</v>
      </c>
      <c r="X156" s="20">
        <f t="shared" si="37"/>
        <v>31.74</v>
      </c>
      <c r="Y156" s="21">
        <f t="shared" si="38"/>
        <v>0.13885863645768448</v>
      </c>
      <c r="Z156" s="21">
        <f t="shared" si="39"/>
        <v>0.25510335340580564</v>
      </c>
      <c r="AA156" s="21">
        <f t="shared" si="40"/>
        <v>0.41943999999999998</v>
      </c>
      <c r="AB156" s="21">
        <f t="shared" si="41"/>
        <v>0.50000257267537906</v>
      </c>
    </row>
    <row r="157" spans="1:28" ht="16" customHeight="1" x14ac:dyDescent="0.2">
      <c r="A157" t="s">
        <v>28</v>
      </c>
      <c r="B157" t="s">
        <v>29</v>
      </c>
      <c r="C157" t="s">
        <v>352</v>
      </c>
      <c r="D157" t="s">
        <v>353</v>
      </c>
      <c r="E157" t="s">
        <v>32</v>
      </c>
      <c r="F157" t="s">
        <v>33</v>
      </c>
      <c r="G157" t="s">
        <v>34</v>
      </c>
      <c r="H157" s="15">
        <v>34.4</v>
      </c>
      <c r="I157" s="15">
        <f t="shared" si="42"/>
        <v>4.46344155742847</v>
      </c>
      <c r="J157" s="17">
        <v>0.69299999999999995</v>
      </c>
      <c r="K157" s="17">
        <v>390000</v>
      </c>
      <c r="L157" s="11" t="s">
        <v>35</v>
      </c>
      <c r="M157" s="11" t="s">
        <v>35</v>
      </c>
      <c r="N157" s="14">
        <v>65</v>
      </c>
      <c r="O157" s="11">
        <v>249.44</v>
      </c>
      <c r="P157" s="13">
        <v>15.704000000000001</v>
      </c>
      <c r="Q157" s="11">
        <f t="shared" si="31"/>
        <v>196.3</v>
      </c>
      <c r="R157" s="20">
        <f t="shared" si="32"/>
        <v>78.696279666452867</v>
      </c>
      <c r="S157" s="20">
        <f t="shared" si="33"/>
        <v>0.78696279666452862</v>
      </c>
      <c r="T157" s="15">
        <f t="shared" si="34"/>
        <v>27.071520205259784</v>
      </c>
      <c r="U157" s="15">
        <f t="shared" si="35"/>
        <v>4.5674873556732303</v>
      </c>
      <c r="V157" s="21">
        <v>0.20899999999999999</v>
      </c>
      <c r="W157" s="20">
        <f t="shared" si="36"/>
        <v>3.6077075904228217</v>
      </c>
      <c r="X157" s="20">
        <f t="shared" si="37"/>
        <v>31.74</v>
      </c>
      <c r="Y157" s="21">
        <f t="shared" si="38"/>
        <v>0.13873266197646539</v>
      </c>
      <c r="Z157" s="21">
        <f t="shared" si="39"/>
        <v>0.25085404421510965</v>
      </c>
      <c r="AA157" s="21">
        <f t="shared" si="40"/>
        <v>0.40963999999999995</v>
      </c>
      <c r="AB157" s="21">
        <f t="shared" si="41"/>
        <v>0.49167392666161491</v>
      </c>
    </row>
    <row r="158" spans="1:28" ht="16" customHeight="1" x14ac:dyDescent="0.2">
      <c r="A158" t="s">
        <v>28</v>
      </c>
      <c r="B158" t="s">
        <v>29</v>
      </c>
      <c r="C158" t="s">
        <v>354</v>
      </c>
      <c r="D158" t="s">
        <v>355</v>
      </c>
      <c r="E158" t="s">
        <v>32</v>
      </c>
      <c r="F158" t="s">
        <v>33</v>
      </c>
      <c r="G158" t="s">
        <v>34</v>
      </c>
      <c r="H158" s="15">
        <v>44.2</v>
      </c>
      <c r="I158" s="15">
        <f t="shared" si="42"/>
        <v>4.3545777306509077</v>
      </c>
      <c r="J158" s="17">
        <v>0.70299999999999996</v>
      </c>
      <c r="K158" s="17">
        <v>396000</v>
      </c>
      <c r="L158" s="11" t="s">
        <v>35</v>
      </c>
      <c r="M158" s="11" t="s">
        <v>35</v>
      </c>
      <c r="N158" s="14">
        <v>65</v>
      </c>
      <c r="O158" s="11">
        <v>249.93</v>
      </c>
      <c r="P158" s="13">
        <v>4.069</v>
      </c>
      <c r="Q158" s="11">
        <f t="shared" si="31"/>
        <v>50.862499999999997</v>
      </c>
      <c r="R158" s="20">
        <f t="shared" si="32"/>
        <v>20.350698195494736</v>
      </c>
      <c r="S158" s="20">
        <f t="shared" si="33"/>
        <v>0.20350698195494737</v>
      </c>
      <c r="T158" s="15">
        <f t="shared" si="34"/>
        <v>8.9950086024086744</v>
      </c>
      <c r="U158" s="15">
        <f t="shared" si="35"/>
        <v>5.045998416979149</v>
      </c>
      <c r="V158" s="21">
        <v>0.221</v>
      </c>
      <c r="W158" s="20">
        <f t="shared" si="36"/>
        <v>11.464571147702138</v>
      </c>
      <c r="X158" s="20">
        <f t="shared" si="37"/>
        <v>31.74</v>
      </c>
      <c r="Y158" s="21">
        <f t="shared" si="38"/>
        <v>0.14656161507067017</v>
      </c>
      <c r="Z158" s="21">
        <f t="shared" si="39"/>
        <v>0.26518164908628822</v>
      </c>
      <c r="AA158" s="21">
        <f t="shared" si="40"/>
        <v>0.43315999999999999</v>
      </c>
      <c r="AB158" s="21">
        <f t="shared" si="41"/>
        <v>0.51975603220912492</v>
      </c>
    </row>
    <row r="159" spans="1:28" ht="16" customHeight="1" x14ac:dyDescent="0.2">
      <c r="A159" t="s">
        <v>28</v>
      </c>
      <c r="B159" t="s">
        <v>29</v>
      </c>
      <c r="C159" t="s">
        <v>356</v>
      </c>
      <c r="D159" t="s">
        <v>357</v>
      </c>
      <c r="E159" t="s">
        <v>32</v>
      </c>
      <c r="F159" t="s">
        <v>38</v>
      </c>
      <c r="G159" t="s">
        <v>34</v>
      </c>
      <c r="H159" s="15">
        <v>17800</v>
      </c>
      <c r="I159" s="15">
        <f t="shared" si="42"/>
        <v>1.7495799976911059</v>
      </c>
      <c r="J159" s="17">
        <v>1.25</v>
      </c>
      <c r="K159" s="17">
        <v>623000</v>
      </c>
      <c r="L159" s="11" t="s">
        <v>35</v>
      </c>
      <c r="M159" s="11" t="s">
        <v>35</v>
      </c>
      <c r="N159" s="14">
        <v>65</v>
      </c>
      <c r="O159" s="11">
        <v>249.53</v>
      </c>
      <c r="P159" s="13">
        <v>5.734</v>
      </c>
      <c r="Q159" s="11">
        <f t="shared" si="31"/>
        <v>71.674999999999997</v>
      </c>
      <c r="R159" s="20">
        <f t="shared" si="32"/>
        <v>28.724001122109566</v>
      </c>
      <c r="S159" s="20">
        <f t="shared" si="33"/>
        <v>0.28724001122109566</v>
      </c>
      <c r="T159" s="15">
        <f t="shared" si="34"/>
        <v>5112.8721997355024</v>
      </c>
      <c r="U159" s="15">
        <f t="shared" si="35"/>
        <v>2.2913350626701621</v>
      </c>
      <c r="V159" s="21">
        <v>0.53200000000000003</v>
      </c>
      <c r="W159" s="20">
        <f t="shared" si="36"/>
        <v>8.3852877572375295</v>
      </c>
      <c r="X159" s="20">
        <f t="shared" si="37"/>
        <v>31.74</v>
      </c>
      <c r="Y159" s="21">
        <f t="shared" si="38"/>
        <v>0.14257436413340485</v>
      </c>
      <c r="Z159" s="21">
        <f t="shared" si="39"/>
        <v>0.55077350091307475</v>
      </c>
      <c r="AA159" s="21">
        <f t="shared" si="40"/>
        <v>1.0427200000000001</v>
      </c>
      <c r="AB159" s="21">
        <f t="shared" si="41"/>
        <v>1.0795160617896264</v>
      </c>
    </row>
    <row r="160" spans="1:28" ht="16" customHeight="1" x14ac:dyDescent="0.2">
      <c r="A160" t="s">
        <v>28</v>
      </c>
      <c r="B160" t="s">
        <v>29</v>
      </c>
      <c r="C160" t="s">
        <v>358</v>
      </c>
      <c r="D160" t="s">
        <v>359</v>
      </c>
      <c r="E160" t="s">
        <v>32</v>
      </c>
      <c r="F160" t="s">
        <v>33</v>
      </c>
      <c r="G160" t="s">
        <v>34</v>
      </c>
      <c r="H160" s="15">
        <v>79.8</v>
      </c>
      <c r="I160" s="15">
        <f t="shared" si="42"/>
        <v>4.0979971086492704</v>
      </c>
      <c r="J160" s="17">
        <v>0.78400000000000003</v>
      </c>
      <c r="K160" s="17">
        <v>386000</v>
      </c>
      <c r="L160" s="11" t="s">
        <v>35</v>
      </c>
      <c r="M160" s="11" t="s">
        <v>35</v>
      </c>
      <c r="N160" s="14">
        <v>65</v>
      </c>
      <c r="O160" s="11">
        <v>250.61</v>
      </c>
      <c r="P160" s="13">
        <v>4.3259999999999996</v>
      </c>
      <c r="Q160" s="11">
        <f t="shared" si="31"/>
        <v>54.074999999999996</v>
      </c>
      <c r="R160" s="20">
        <f t="shared" si="32"/>
        <v>21.577351262918476</v>
      </c>
      <c r="S160" s="20">
        <f t="shared" si="33"/>
        <v>0.21577351262918476</v>
      </c>
      <c r="T160" s="15">
        <f t="shared" si="34"/>
        <v>17.218726307808943</v>
      </c>
      <c r="U160" s="15">
        <f t="shared" si="35"/>
        <v>4.7639989770373354</v>
      </c>
      <c r="V160" s="21">
        <v>0.28699999999999998</v>
      </c>
      <c r="W160" s="20">
        <f t="shared" si="36"/>
        <v>10.83457235321313</v>
      </c>
      <c r="X160" s="20">
        <f t="shared" si="37"/>
        <v>31.74</v>
      </c>
      <c r="Y160" s="21">
        <f t="shared" si="38"/>
        <v>0.14565485616139628</v>
      </c>
      <c r="Z160" s="21">
        <f t="shared" si="39"/>
        <v>0.32184520677399719</v>
      </c>
      <c r="AA160" s="21">
        <f t="shared" si="40"/>
        <v>0.56251999999999991</v>
      </c>
      <c r="AB160" s="21">
        <f t="shared" si="41"/>
        <v>0.63081660527703454</v>
      </c>
    </row>
    <row r="161" spans="1:28" ht="16" customHeight="1" x14ac:dyDescent="0.2">
      <c r="A161" t="s">
        <v>28</v>
      </c>
      <c r="B161" t="s">
        <v>29</v>
      </c>
      <c r="C161" t="s">
        <v>360</v>
      </c>
      <c r="D161" t="s">
        <v>361</v>
      </c>
      <c r="E161" t="s">
        <v>32</v>
      </c>
      <c r="F161" t="s">
        <v>38</v>
      </c>
      <c r="G161" t="s">
        <v>34</v>
      </c>
      <c r="H161" s="15">
        <v>18600</v>
      </c>
      <c r="I161" s="15">
        <f t="shared" si="42"/>
        <v>1.7304870557820837</v>
      </c>
      <c r="J161" s="17">
        <v>1.1100000000000001</v>
      </c>
      <c r="K161" s="17">
        <v>572000</v>
      </c>
      <c r="L161" s="11" t="s">
        <v>35</v>
      </c>
      <c r="M161" s="11" t="s">
        <v>35</v>
      </c>
      <c r="N161" s="14">
        <v>65</v>
      </c>
      <c r="O161" s="11">
        <v>250.59</v>
      </c>
      <c r="P161" s="13">
        <v>12.452</v>
      </c>
      <c r="Q161" s="11">
        <f t="shared" si="31"/>
        <v>155.65</v>
      </c>
      <c r="R161" s="20">
        <f t="shared" si="32"/>
        <v>62.113412346861409</v>
      </c>
      <c r="S161" s="20">
        <f t="shared" si="33"/>
        <v>0.62113412346861407</v>
      </c>
      <c r="T161" s="15">
        <f t="shared" si="34"/>
        <v>11553.094696516222</v>
      </c>
      <c r="U161" s="15">
        <f t="shared" si="35"/>
        <v>1.9373016668890699</v>
      </c>
      <c r="V161" s="21">
        <v>0.53300000000000003</v>
      </c>
      <c r="W161" s="20">
        <f t="shared" si="36"/>
        <v>4.3253067780276258</v>
      </c>
      <c r="X161" s="20">
        <f t="shared" si="37"/>
        <v>31.74</v>
      </c>
      <c r="Y161" s="21">
        <f t="shared" si="38"/>
        <v>0.13911909626311084</v>
      </c>
      <c r="Z161" s="21">
        <f t="shared" si="39"/>
        <v>0.55085671725509966</v>
      </c>
      <c r="AA161" s="21">
        <f t="shared" si="40"/>
        <v>1.0446800000000001</v>
      </c>
      <c r="AB161" s="21">
        <f t="shared" si="41"/>
        <v>1.0796791658199953</v>
      </c>
    </row>
    <row r="162" spans="1:28" ht="16" customHeight="1" x14ac:dyDescent="0.2">
      <c r="A162" t="s">
        <v>28</v>
      </c>
      <c r="B162" t="s">
        <v>29</v>
      </c>
      <c r="C162" t="s">
        <v>362</v>
      </c>
      <c r="D162" t="s">
        <v>363</v>
      </c>
      <c r="E162" t="s">
        <v>32</v>
      </c>
      <c r="F162" t="s">
        <v>33</v>
      </c>
      <c r="G162" t="s">
        <v>34</v>
      </c>
      <c r="H162" s="15">
        <v>4.83</v>
      </c>
      <c r="I162" s="15">
        <f t="shared" si="42"/>
        <v>5.3160528692484883</v>
      </c>
      <c r="J162" s="17">
        <v>1.0900000000000001</v>
      </c>
      <c r="K162" s="17">
        <v>565000</v>
      </c>
      <c r="L162" s="11" t="s">
        <v>35</v>
      </c>
      <c r="M162" s="11" t="s">
        <v>35</v>
      </c>
      <c r="N162" s="14">
        <v>65</v>
      </c>
      <c r="O162" s="11">
        <v>250.19</v>
      </c>
      <c r="P162" s="13">
        <v>15.939</v>
      </c>
      <c r="Q162" s="11">
        <f t="shared" si="31"/>
        <v>199.23750000000001</v>
      </c>
      <c r="R162" s="20">
        <f t="shared" si="32"/>
        <v>79.634477796874378</v>
      </c>
      <c r="S162" s="20">
        <f t="shared" si="33"/>
        <v>0.79634477796874381</v>
      </c>
      <c r="T162" s="15">
        <f t="shared" si="34"/>
        <v>3.8463452775890326</v>
      </c>
      <c r="U162" s="15">
        <f t="shared" si="35"/>
        <v>5.4149517327285812</v>
      </c>
      <c r="V162" s="21">
        <v>8.5099999999999995E-2</v>
      </c>
      <c r="W162" s="20">
        <f t="shared" si="36"/>
        <v>3.5671961854570546</v>
      </c>
      <c r="X162" s="20">
        <f t="shared" si="37"/>
        <v>31.74</v>
      </c>
      <c r="Y162" s="21">
        <f t="shared" si="38"/>
        <v>0.13871290210008733</v>
      </c>
      <c r="Z162" s="21">
        <f t="shared" si="39"/>
        <v>0.16273684035592068</v>
      </c>
      <c r="AA162" s="21">
        <f t="shared" si="40"/>
        <v>0.166796</v>
      </c>
      <c r="AB162" s="21">
        <f t="shared" si="41"/>
        <v>0.31896420709760454</v>
      </c>
    </row>
    <row r="163" spans="1:28" ht="16" customHeight="1" x14ac:dyDescent="0.2">
      <c r="A163" t="s">
        <v>28</v>
      </c>
      <c r="B163" t="s">
        <v>29</v>
      </c>
      <c r="C163" t="s">
        <v>364</v>
      </c>
      <c r="D163" t="s">
        <v>365</v>
      </c>
      <c r="E163" t="s">
        <v>32</v>
      </c>
      <c r="F163" t="s">
        <v>38</v>
      </c>
      <c r="G163" t="s">
        <v>34</v>
      </c>
      <c r="H163" s="15">
        <v>17400</v>
      </c>
      <c r="I163" s="15">
        <f t="shared" si="42"/>
        <v>1.7594507517174003</v>
      </c>
      <c r="J163" s="17">
        <v>1.1299999999999999</v>
      </c>
      <c r="K163" s="17">
        <v>581000</v>
      </c>
      <c r="L163" s="11" t="s">
        <v>35</v>
      </c>
      <c r="M163" s="11" t="s">
        <v>35</v>
      </c>
      <c r="N163" s="14">
        <v>65</v>
      </c>
      <c r="O163" s="11">
        <v>249.72</v>
      </c>
      <c r="P163" s="13">
        <v>16.963000000000001</v>
      </c>
      <c r="Q163" s="11">
        <f t="shared" si="31"/>
        <v>212.03750000000002</v>
      </c>
      <c r="R163" s="20">
        <f t="shared" si="32"/>
        <v>84.910099311228578</v>
      </c>
      <c r="S163" s="20">
        <f t="shared" si="33"/>
        <v>0.84910099311228582</v>
      </c>
      <c r="T163" s="15">
        <f t="shared" si="34"/>
        <v>14774.357280153774</v>
      </c>
      <c r="U163" s="15">
        <f t="shared" si="35"/>
        <v>1.830491402883522</v>
      </c>
      <c r="V163" s="21">
        <v>0.54500000000000004</v>
      </c>
      <c r="W163" s="20">
        <f t="shared" si="36"/>
        <v>3.4037717384896538</v>
      </c>
      <c r="X163" s="20">
        <f t="shared" si="37"/>
        <v>31.74</v>
      </c>
      <c r="Y163" s="21">
        <f t="shared" si="38"/>
        <v>0.13863542860039951</v>
      </c>
      <c r="Z163" s="21">
        <f t="shared" si="39"/>
        <v>0.56235645462928274</v>
      </c>
      <c r="AA163" s="21">
        <f t="shared" si="40"/>
        <v>1.0682</v>
      </c>
      <c r="AB163" s="21">
        <f t="shared" si="41"/>
        <v>1.1022186510733942</v>
      </c>
    </row>
    <row r="164" spans="1:28" ht="16" customHeight="1" x14ac:dyDescent="0.2">
      <c r="A164" t="s">
        <v>28</v>
      </c>
      <c r="B164" t="s">
        <v>29</v>
      </c>
      <c r="C164" t="s">
        <v>366</v>
      </c>
      <c r="D164" t="s">
        <v>367</v>
      </c>
      <c r="E164" t="s">
        <v>32</v>
      </c>
      <c r="F164" t="s">
        <v>33</v>
      </c>
      <c r="G164" t="s">
        <v>34</v>
      </c>
      <c r="H164" s="15">
        <v>43.8</v>
      </c>
      <c r="I164" s="15">
        <f t="shared" si="42"/>
        <v>4.3585258894959003</v>
      </c>
      <c r="J164" s="17">
        <v>1.34</v>
      </c>
      <c r="K164" s="17">
        <v>670000</v>
      </c>
      <c r="L164" s="11" t="s">
        <v>35</v>
      </c>
      <c r="M164" s="11" t="s">
        <v>35</v>
      </c>
      <c r="N164" s="14">
        <v>65</v>
      </c>
      <c r="O164" s="11">
        <v>249.83</v>
      </c>
      <c r="P164" s="13">
        <v>19.187999999999999</v>
      </c>
      <c r="Q164" s="11">
        <f t="shared" si="31"/>
        <v>239.85</v>
      </c>
      <c r="R164" s="20">
        <f t="shared" si="32"/>
        <v>96.005283592843128</v>
      </c>
      <c r="S164" s="20">
        <f t="shared" si="33"/>
        <v>0.96005283592843127</v>
      </c>
      <c r="T164" s="15">
        <f t="shared" si="34"/>
        <v>42.050314213665288</v>
      </c>
      <c r="U164" s="15">
        <f t="shared" si="35"/>
        <v>4.3762307546639017</v>
      </c>
      <c r="V164" s="21">
        <v>0.182</v>
      </c>
      <c r="W164" s="20">
        <f t="shared" si="36"/>
        <v>3.1088013341671878</v>
      </c>
      <c r="X164" s="20">
        <f t="shared" si="37"/>
        <v>31.74</v>
      </c>
      <c r="Y164" s="21">
        <f t="shared" si="38"/>
        <v>0.13850469107055255</v>
      </c>
      <c r="Z164" s="21">
        <f t="shared" si="39"/>
        <v>0.22870843764179144</v>
      </c>
      <c r="AA164" s="21">
        <f t="shared" si="40"/>
        <v>0.35671999999999998</v>
      </c>
      <c r="AB164" s="21">
        <f t="shared" si="41"/>
        <v>0.4482685377779112</v>
      </c>
    </row>
    <row r="165" spans="1:28" ht="16" customHeight="1" x14ac:dyDescent="0.2">
      <c r="A165" t="s">
        <v>28</v>
      </c>
      <c r="B165" t="s">
        <v>29</v>
      </c>
      <c r="C165" t="s">
        <v>368</v>
      </c>
      <c r="D165" t="s">
        <v>369</v>
      </c>
      <c r="E165" t="s">
        <v>32</v>
      </c>
      <c r="F165" t="s">
        <v>38</v>
      </c>
      <c r="G165" t="s">
        <v>34</v>
      </c>
      <c r="H165" s="16" t="s">
        <v>67</v>
      </c>
      <c r="I165" s="16" t="s">
        <v>67</v>
      </c>
      <c r="J165" s="18" t="s">
        <v>67</v>
      </c>
      <c r="K165" s="18" t="s">
        <v>67</v>
      </c>
      <c r="L165" s="11" t="s">
        <v>35</v>
      </c>
      <c r="M165" s="11" t="s">
        <v>35</v>
      </c>
      <c r="N165" s="14">
        <v>65</v>
      </c>
      <c r="O165" s="11">
        <v>249.8</v>
      </c>
      <c r="P165" s="13">
        <v>11.637</v>
      </c>
      <c r="Q165" s="11">
        <f t="shared" si="31"/>
        <v>145.46250000000001</v>
      </c>
      <c r="R165" s="20">
        <f t="shared" si="32"/>
        <v>58.231585268214573</v>
      </c>
      <c r="S165" s="20">
        <f t="shared" si="33"/>
        <v>0.5823158526821457</v>
      </c>
      <c r="T165" s="15" t="str">
        <f t="shared" si="34"/>
        <v>no data</v>
      </c>
      <c r="U165" s="15" t="str">
        <f t="shared" si="35"/>
        <v>no data</v>
      </c>
      <c r="V165" s="22" t="s">
        <v>68</v>
      </c>
      <c r="W165" s="20">
        <f t="shared" si="36"/>
        <v>4.5680003437312022</v>
      </c>
      <c r="X165" s="20">
        <f t="shared" si="37"/>
        <v>31.74</v>
      </c>
      <c r="Y165" s="21">
        <f t="shared" si="38"/>
        <v>0.13926532921304685</v>
      </c>
      <c r="Z165" s="21" t="str">
        <f t="shared" si="39"/>
        <v>-</v>
      </c>
      <c r="AA165" s="21" t="str">
        <f t="shared" si="40"/>
        <v>-</v>
      </c>
      <c r="AB165" s="21" t="str">
        <f t="shared" si="41"/>
        <v>-</v>
      </c>
    </row>
    <row r="166" spans="1:28" ht="16" customHeight="1" x14ac:dyDescent="0.2">
      <c r="A166" t="s">
        <v>28</v>
      </c>
      <c r="B166" t="s">
        <v>29</v>
      </c>
      <c r="C166" t="s">
        <v>370</v>
      </c>
      <c r="D166" t="s">
        <v>371</v>
      </c>
      <c r="E166" t="s">
        <v>32</v>
      </c>
      <c r="F166" t="s">
        <v>33</v>
      </c>
      <c r="G166" t="s">
        <v>34</v>
      </c>
      <c r="H166" s="15">
        <v>313</v>
      </c>
      <c r="I166" s="15">
        <f t="shared" ref="I166:I174" si="43">IF(H166=0, 0, -LOG10(H166*10^-6))</f>
        <v>3.5044556624535517</v>
      </c>
      <c r="J166" s="17">
        <v>1.1299999999999999</v>
      </c>
      <c r="K166" s="17">
        <v>579000</v>
      </c>
      <c r="L166" s="11" t="s">
        <v>35</v>
      </c>
      <c r="M166" s="11" t="s">
        <v>35</v>
      </c>
      <c r="N166" s="14">
        <v>65</v>
      </c>
      <c r="O166" s="11">
        <v>249.87</v>
      </c>
      <c r="P166" s="13">
        <v>15.968999999999999</v>
      </c>
      <c r="Q166" s="11">
        <f t="shared" si="31"/>
        <v>199.61249999999998</v>
      </c>
      <c r="R166" s="20">
        <f t="shared" si="32"/>
        <v>79.88654100132068</v>
      </c>
      <c r="S166" s="20">
        <f t="shared" si="33"/>
        <v>0.79886541001320677</v>
      </c>
      <c r="T166" s="15">
        <f t="shared" si="34"/>
        <v>250.04487333413371</v>
      </c>
      <c r="U166" s="15">
        <f t="shared" si="35"/>
        <v>3.6019820453575488</v>
      </c>
      <c r="V166" s="21">
        <v>0.25600000000000001</v>
      </c>
      <c r="W166" s="20">
        <f t="shared" si="36"/>
        <v>3.5621103387813888</v>
      </c>
      <c r="X166" s="20">
        <f t="shared" si="37"/>
        <v>31.74</v>
      </c>
      <c r="Y166" s="21">
        <f t="shared" si="38"/>
        <v>0.13871043699079486</v>
      </c>
      <c r="Z166" s="21">
        <f t="shared" si="39"/>
        <v>0.29116418964250612</v>
      </c>
      <c r="AA166" s="21">
        <f t="shared" si="40"/>
        <v>0.50175999999999998</v>
      </c>
      <c r="AB166" s="21">
        <f t="shared" si="41"/>
        <v>0.57068181169931198</v>
      </c>
    </row>
    <row r="167" spans="1:28" ht="16" customHeight="1" x14ac:dyDescent="0.2">
      <c r="A167" t="s">
        <v>28</v>
      </c>
      <c r="B167" t="s">
        <v>29</v>
      </c>
      <c r="C167" t="s">
        <v>372</v>
      </c>
      <c r="D167" t="s">
        <v>373</v>
      </c>
      <c r="E167" t="s">
        <v>32</v>
      </c>
      <c r="F167" t="s">
        <v>33</v>
      </c>
      <c r="G167" t="s">
        <v>34</v>
      </c>
      <c r="H167" s="15">
        <v>40.4</v>
      </c>
      <c r="I167" s="15">
        <f t="shared" si="43"/>
        <v>4.3936186348893953</v>
      </c>
      <c r="J167" s="17">
        <v>0.64500000000000002</v>
      </c>
      <c r="K167" s="17">
        <v>374000</v>
      </c>
      <c r="L167" s="11" t="s">
        <v>35</v>
      </c>
      <c r="M167" s="11" t="s">
        <v>35</v>
      </c>
      <c r="N167" s="14">
        <v>65</v>
      </c>
      <c r="O167" s="11">
        <v>250</v>
      </c>
      <c r="P167" s="13">
        <v>12.007</v>
      </c>
      <c r="Q167" s="11">
        <f t="shared" si="31"/>
        <v>150.08750000000001</v>
      </c>
      <c r="R167" s="20">
        <f t="shared" si="32"/>
        <v>60.035000000000004</v>
      </c>
      <c r="S167" s="20">
        <f t="shared" si="33"/>
        <v>0.60035000000000005</v>
      </c>
      <c r="T167" s="15">
        <f t="shared" si="34"/>
        <v>24.25414</v>
      </c>
      <c r="U167" s="15">
        <f t="shared" si="35"/>
        <v>4.6152141199196324</v>
      </c>
      <c r="V167" s="21">
        <v>0.245</v>
      </c>
      <c r="W167" s="20">
        <f t="shared" si="36"/>
        <v>4.4537369867577246</v>
      </c>
      <c r="X167" s="20">
        <f t="shared" si="37"/>
        <v>31.74</v>
      </c>
      <c r="Y167" s="21">
        <f t="shared" si="38"/>
        <v>0.13919550570588501</v>
      </c>
      <c r="Z167" s="21">
        <f t="shared" si="39"/>
        <v>0.28178074598651531</v>
      </c>
      <c r="AA167" s="21">
        <f t="shared" si="40"/>
        <v>0.48019999999999996</v>
      </c>
      <c r="AB167" s="21">
        <f t="shared" si="41"/>
        <v>0.55229026213357002</v>
      </c>
    </row>
    <row r="168" spans="1:28" ht="16" customHeight="1" x14ac:dyDescent="0.2">
      <c r="A168" t="s">
        <v>28</v>
      </c>
      <c r="B168" t="s">
        <v>29</v>
      </c>
      <c r="C168" t="s">
        <v>374</v>
      </c>
      <c r="D168" t="s">
        <v>375</v>
      </c>
      <c r="E168" t="s">
        <v>32</v>
      </c>
      <c r="F168" t="s">
        <v>33</v>
      </c>
      <c r="G168" t="s">
        <v>34</v>
      </c>
      <c r="H168" s="15">
        <v>59.7</v>
      </c>
      <c r="I168" s="15">
        <f t="shared" si="43"/>
        <v>4.224025668870631</v>
      </c>
      <c r="J168" s="17">
        <v>1.17</v>
      </c>
      <c r="K168" s="17">
        <v>532000</v>
      </c>
      <c r="L168" s="11" t="s">
        <v>35</v>
      </c>
      <c r="M168" s="11" t="s">
        <v>35</v>
      </c>
      <c r="N168" s="14">
        <v>65</v>
      </c>
      <c r="O168" s="11">
        <v>249.27</v>
      </c>
      <c r="P168" s="13">
        <v>2.032</v>
      </c>
      <c r="Q168" s="11">
        <f t="shared" si="31"/>
        <v>25.4</v>
      </c>
      <c r="R168" s="20">
        <f t="shared" si="32"/>
        <v>10.189754081919203</v>
      </c>
      <c r="S168" s="20">
        <f t="shared" si="33"/>
        <v>0.10189754081919203</v>
      </c>
      <c r="T168" s="15">
        <f t="shared" si="34"/>
        <v>6.0832831869057644</v>
      </c>
      <c r="U168" s="15">
        <f t="shared" si="35"/>
        <v>5.2158619659392036</v>
      </c>
      <c r="V168" s="21">
        <v>0.17199999999999999</v>
      </c>
      <c r="W168" s="20">
        <f t="shared" si="36"/>
        <v>22.09523622047244</v>
      </c>
      <c r="X168" s="20">
        <f t="shared" si="37"/>
        <v>31.74</v>
      </c>
      <c r="Y168" s="21">
        <f t="shared" si="38"/>
        <v>0.16795617242880662</v>
      </c>
      <c r="Z168" s="21">
        <f t="shared" si="39"/>
        <v>0.24040232082268884</v>
      </c>
      <c r="AA168" s="21">
        <f t="shared" si="40"/>
        <v>0.33711999999999998</v>
      </c>
      <c r="AB168" s="21">
        <f t="shared" si="41"/>
        <v>0.47118854881247013</v>
      </c>
    </row>
    <row r="169" spans="1:28" ht="16" customHeight="1" x14ac:dyDescent="0.2">
      <c r="A169" t="s">
        <v>28</v>
      </c>
      <c r="B169" t="s">
        <v>29</v>
      </c>
      <c r="C169" t="s">
        <v>376</v>
      </c>
      <c r="D169" t="s">
        <v>377</v>
      </c>
      <c r="E169" t="s">
        <v>32</v>
      </c>
      <c r="F169" t="s">
        <v>33</v>
      </c>
      <c r="G169" t="s">
        <v>34</v>
      </c>
      <c r="H169" s="15">
        <v>12</v>
      </c>
      <c r="I169" s="15">
        <f t="shared" si="43"/>
        <v>4.9208187539523749</v>
      </c>
      <c r="J169" s="17">
        <v>0.57499999999999996</v>
      </c>
      <c r="K169" s="17">
        <v>306000</v>
      </c>
      <c r="L169" s="11" t="s">
        <v>35</v>
      </c>
      <c r="M169" s="11" t="s">
        <v>35</v>
      </c>
      <c r="N169" s="14">
        <v>65</v>
      </c>
      <c r="O169" s="11">
        <v>249.39</v>
      </c>
      <c r="P169" s="13">
        <v>12.141</v>
      </c>
      <c r="Q169" s="11">
        <f t="shared" si="31"/>
        <v>151.76249999999999</v>
      </c>
      <c r="R169" s="20">
        <f t="shared" si="32"/>
        <v>60.853482497293399</v>
      </c>
      <c r="S169" s="20">
        <f t="shared" si="33"/>
        <v>0.60853482497293399</v>
      </c>
      <c r="T169" s="15">
        <f t="shared" si="34"/>
        <v>7.3024178996752074</v>
      </c>
      <c r="U169" s="15">
        <f t="shared" si="35"/>
        <v>5.1365333170546466</v>
      </c>
      <c r="V169" s="21">
        <v>0.19</v>
      </c>
      <c r="W169" s="20">
        <f t="shared" si="36"/>
        <v>4.4140729758668975</v>
      </c>
      <c r="X169" s="20">
        <f t="shared" si="37"/>
        <v>31.74</v>
      </c>
      <c r="Y169" s="21">
        <f t="shared" si="38"/>
        <v>0.13917167353522208</v>
      </c>
      <c r="Z169" s="21">
        <f t="shared" si="39"/>
        <v>0.23551805602669709</v>
      </c>
      <c r="AA169" s="21">
        <f t="shared" si="40"/>
        <v>0.37240000000000001</v>
      </c>
      <c r="AB169" s="21">
        <f t="shared" si="41"/>
        <v>0.4616153898123263</v>
      </c>
    </row>
    <row r="170" spans="1:28" ht="16" customHeight="1" x14ac:dyDescent="0.2">
      <c r="A170" t="s">
        <v>28</v>
      </c>
      <c r="B170" t="s">
        <v>29</v>
      </c>
      <c r="C170" t="s">
        <v>378</v>
      </c>
      <c r="D170" t="s">
        <v>379</v>
      </c>
      <c r="E170" t="s">
        <v>32</v>
      </c>
      <c r="F170" t="s">
        <v>33</v>
      </c>
      <c r="G170" t="s">
        <v>34</v>
      </c>
      <c r="H170" s="15">
        <v>28.2</v>
      </c>
      <c r="I170" s="15">
        <f t="shared" si="43"/>
        <v>4.5497508916806391</v>
      </c>
      <c r="J170" s="17">
        <v>0.54100000000000004</v>
      </c>
      <c r="K170" s="17">
        <v>329000</v>
      </c>
      <c r="L170" s="11" t="s">
        <v>35</v>
      </c>
      <c r="M170" s="11" t="s">
        <v>35</v>
      </c>
      <c r="N170" s="14">
        <v>65</v>
      </c>
      <c r="O170" s="11">
        <v>249.48</v>
      </c>
      <c r="P170" s="13">
        <v>10.462999999999999</v>
      </c>
      <c r="Q170" s="11">
        <f t="shared" si="31"/>
        <v>130.78749999999999</v>
      </c>
      <c r="R170" s="20">
        <f t="shared" si="32"/>
        <v>52.424042007375334</v>
      </c>
      <c r="S170" s="20">
        <f t="shared" si="33"/>
        <v>0.52424042007375338</v>
      </c>
      <c r="T170" s="15">
        <f t="shared" si="34"/>
        <v>14.783579846079844</v>
      </c>
      <c r="U170" s="15">
        <f t="shared" si="35"/>
        <v>4.8302203887323278</v>
      </c>
      <c r="V170" s="21">
        <v>0.151</v>
      </c>
      <c r="W170" s="20">
        <f t="shared" si="36"/>
        <v>4.9840561980311575</v>
      </c>
      <c r="X170" s="20">
        <f t="shared" si="37"/>
        <v>31.74</v>
      </c>
      <c r="Y170" s="21">
        <f t="shared" si="38"/>
        <v>0.13953418855182725</v>
      </c>
      <c r="Z170" s="21">
        <f t="shared" si="39"/>
        <v>0.2055986132609286</v>
      </c>
      <c r="AA170" s="21">
        <f t="shared" si="40"/>
        <v>0.29596</v>
      </c>
      <c r="AB170" s="21">
        <f t="shared" si="41"/>
        <v>0.40297328199142002</v>
      </c>
    </row>
    <row r="171" spans="1:28" ht="16" customHeight="1" x14ac:dyDescent="0.2">
      <c r="A171" t="s">
        <v>28</v>
      </c>
      <c r="B171" t="s">
        <v>29</v>
      </c>
      <c r="C171" t="s">
        <v>380</v>
      </c>
      <c r="D171" t="s">
        <v>381</v>
      </c>
      <c r="E171" t="s">
        <v>32</v>
      </c>
      <c r="F171" t="s">
        <v>38</v>
      </c>
      <c r="G171" t="s">
        <v>34</v>
      </c>
      <c r="H171" s="15">
        <v>18600</v>
      </c>
      <c r="I171" s="15">
        <f t="shared" si="43"/>
        <v>1.7304870557820837</v>
      </c>
      <c r="J171" s="17">
        <v>1.1499999999999999</v>
      </c>
      <c r="K171" s="17">
        <v>525000</v>
      </c>
      <c r="L171" s="11" t="s">
        <v>35</v>
      </c>
      <c r="M171" s="11" t="s">
        <v>35</v>
      </c>
      <c r="N171" s="14">
        <v>65</v>
      </c>
      <c r="O171" s="11">
        <v>249.87</v>
      </c>
      <c r="P171" s="13">
        <v>12.37</v>
      </c>
      <c r="Q171" s="11">
        <f t="shared" si="31"/>
        <v>154.625</v>
      </c>
      <c r="R171" s="20">
        <f t="shared" si="32"/>
        <v>61.882178732941128</v>
      </c>
      <c r="S171" s="20">
        <f t="shared" si="33"/>
        <v>0.61882178732941129</v>
      </c>
      <c r="T171" s="15">
        <f t="shared" si="34"/>
        <v>11510.085244327051</v>
      </c>
      <c r="U171" s="15">
        <f t="shared" si="35"/>
        <v>1.9389214599493776</v>
      </c>
      <c r="V171" s="21">
        <v>0.52500000000000002</v>
      </c>
      <c r="W171" s="20">
        <f t="shared" si="36"/>
        <v>4.3482780921584476</v>
      </c>
      <c r="X171" s="20">
        <f t="shared" si="37"/>
        <v>31.74</v>
      </c>
      <c r="Y171" s="21">
        <f t="shared" si="38"/>
        <v>0.13913260190631604</v>
      </c>
      <c r="Z171" s="21">
        <f t="shared" si="39"/>
        <v>0.54312326493460161</v>
      </c>
      <c r="AA171" s="21">
        <f t="shared" si="40"/>
        <v>1.0289999999999999</v>
      </c>
      <c r="AB171" s="21">
        <f t="shared" si="41"/>
        <v>1.0645215992718191</v>
      </c>
    </row>
    <row r="172" spans="1:28" ht="16" customHeight="1" x14ac:dyDescent="0.2">
      <c r="A172" t="s">
        <v>28</v>
      </c>
      <c r="B172" t="s">
        <v>29</v>
      </c>
      <c r="C172" t="s">
        <v>382</v>
      </c>
      <c r="D172" t="s">
        <v>383</v>
      </c>
      <c r="E172" t="s">
        <v>32</v>
      </c>
      <c r="F172" t="s">
        <v>33</v>
      </c>
      <c r="G172" t="s">
        <v>34</v>
      </c>
      <c r="H172" s="15">
        <v>174</v>
      </c>
      <c r="I172" s="15">
        <f t="shared" si="43"/>
        <v>3.7594507517174001</v>
      </c>
      <c r="J172" s="17">
        <v>1.1399999999999999</v>
      </c>
      <c r="K172" s="17">
        <v>584000</v>
      </c>
      <c r="L172" s="11" t="s">
        <v>35</v>
      </c>
      <c r="M172" s="11" t="s">
        <v>35</v>
      </c>
      <c r="N172" s="14">
        <v>65</v>
      </c>
      <c r="O172" s="11">
        <v>249.56</v>
      </c>
      <c r="P172" s="13">
        <v>4.71</v>
      </c>
      <c r="Q172" s="11">
        <f t="shared" si="31"/>
        <v>58.875</v>
      </c>
      <c r="R172" s="20">
        <f t="shared" si="32"/>
        <v>23.591521077095688</v>
      </c>
      <c r="S172" s="20">
        <f t="shared" si="33"/>
        <v>0.2359152107709569</v>
      </c>
      <c r="T172" s="15">
        <f t="shared" si="34"/>
        <v>41.049246674146502</v>
      </c>
      <c r="U172" s="15">
        <f t="shared" si="35"/>
        <v>4.3866948085387731</v>
      </c>
      <c r="V172" s="21">
        <v>0.19600000000000001</v>
      </c>
      <c r="W172" s="20">
        <f t="shared" si="36"/>
        <v>10.021358811040338</v>
      </c>
      <c r="X172" s="20">
        <f t="shared" si="37"/>
        <v>31.74</v>
      </c>
      <c r="Y172" s="21">
        <f t="shared" si="38"/>
        <v>0.14455257017080658</v>
      </c>
      <c r="Z172" s="21">
        <f t="shared" si="39"/>
        <v>0.24353941270970078</v>
      </c>
      <c r="AA172" s="21">
        <f t="shared" si="40"/>
        <v>0.38416</v>
      </c>
      <c r="AB172" s="21">
        <f t="shared" si="41"/>
        <v>0.47733724891101353</v>
      </c>
    </row>
    <row r="173" spans="1:28" ht="16" customHeight="1" x14ac:dyDescent="0.2">
      <c r="A173" t="s">
        <v>28</v>
      </c>
      <c r="B173" t="s">
        <v>29</v>
      </c>
      <c r="C173" t="s">
        <v>384</v>
      </c>
      <c r="D173" t="s">
        <v>385</v>
      </c>
      <c r="E173" t="s">
        <v>32</v>
      </c>
      <c r="F173" t="s">
        <v>33</v>
      </c>
      <c r="G173" t="s">
        <v>34</v>
      </c>
      <c r="H173" s="15">
        <v>4.13</v>
      </c>
      <c r="I173" s="15">
        <f t="shared" si="43"/>
        <v>5.3840499483435993</v>
      </c>
      <c r="J173" s="17">
        <v>0.83799999999999997</v>
      </c>
      <c r="K173" s="17">
        <v>452000</v>
      </c>
      <c r="L173" s="11" t="s">
        <v>35</v>
      </c>
      <c r="M173" s="11" t="s">
        <v>35</v>
      </c>
      <c r="N173" s="14">
        <v>65</v>
      </c>
      <c r="O173" s="11">
        <v>249.35</v>
      </c>
      <c r="P173" s="13">
        <v>1.1200000000000001</v>
      </c>
      <c r="Q173" s="11">
        <f t="shared" si="31"/>
        <v>14.000000000000002</v>
      </c>
      <c r="R173" s="20">
        <f t="shared" si="32"/>
        <v>5.6145979546821749</v>
      </c>
      <c r="S173" s="20">
        <f t="shared" si="33"/>
        <v>5.6145979546821746E-2</v>
      </c>
      <c r="T173" s="15">
        <f t="shared" si="34"/>
        <v>0.23188289552837379</v>
      </c>
      <c r="U173" s="15">
        <f t="shared" si="35"/>
        <v>6.6347312852197424</v>
      </c>
      <c r="V173" s="21">
        <v>0.13700000000000001</v>
      </c>
      <c r="W173" s="20">
        <f t="shared" si="36"/>
        <v>39.386785714285708</v>
      </c>
      <c r="X173" s="20">
        <f t="shared" si="37"/>
        <v>31.74</v>
      </c>
      <c r="Y173" s="21">
        <f t="shared" si="38"/>
        <v>0.21968375394974363</v>
      </c>
      <c r="Z173" s="21">
        <f t="shared" si="39"/>
        <v>0.25890143249787456</v>
      </c>
      <c r="AA173" s="21">
        <f t="shared" si="40"/>
        <v>0.26852000000000004</v>
      </c>
      <c r="AB173" s="21">
        <f t="shared" si="41"/>
        <v>0.50744680769583417</v>
      </c>
    </row>
    <row r="174" spans="1:28" ht="16" customHeight="1" x14ac:dyDescent="0.2">
      <c r="A174" t="s">
        <v>28</v>
      </c>
      <c r="B174" t="s">
        <v>29</v>
      </c>
      <c r="C174" t="s">
        <v>386</v>
      </c>
      <c r="D174" t="s">
        <v>387</v>
      </c>
      <c r="E174" t="s">
        <v>32</v>
      </c>
      <c r="F174" t="s">
        <v>33</v>
      </c>
      <c r="G174" t="s">
        <v>34</v>
      </c>
      <c r="H174" s="15">
        <v>40.299999999999997</v>
      </c>
      <c r="I174" s="15">
        <f t="shared" si="43"/>
        <v>4.3946949538588909</v>
      </c>
      <c r="J174" s="17">
        <v>0.625</v>
      </c>
      <c r="K174" s="17">
        <v>365000</v>
      </c>
      <c r="L174" s="11" t="s">
        <v>35</v>
      </c>
      <c r="M174" s="11" t="s">
        <v>35</v>
      </c>
      <c r="N174" s="14">
        <v>65</v>
      </c>
      <c r="O174" s="11">
        <v>250.8</v>
      </c>
      <c r="P174" s="13">
        <v>11.571</v>
      </c>
      <c r="Q174" s="11">
        <f t="shared" si="31"/>
        <v>144.63749999999999</v>
      </c>
      <c r="R174" s="20">
        <f t="shared" si="32"/>
        <v>57.67045454545454</v>
      </c>
      <c r="S174" s="20">
        <f t="shared" si="33"/>
        <v>0.57670454545454541</v>
      </c>
      <c r="T174" s="15">
        <f t="shared" si="34"/>
        <v>23.241193181818179</v>
      </c>
      <c r="U174" s="15">
        <f t="shared" si="35"/>
        <v>4.633741579423809</v>
      </c>
      <c r="V174" s="21">
        <v>0.222</v>
      </c>
      <c r="W174" s="20">
        <f t="shared" si="36"/>
        <v>4.5891504623628032</v>
      </c>
      <c r="X174" s="20">
        <f t="shared" si="37"/>
        <v>31.74</v>
      </c>
      <c r="Y174" s="21">
        <f t="shared" si="38"/>
        <v>0.13927844361054592</v>
      </c>
      <c r="Z174" s="21">
        <f t="shared" si="39"/>
        <v>0.26207343408780681</v>
      </c>
      <c r="AA174" s="21">
        <f t="shared" si="40"/>
        <v>0.43512000000000001</v>
      </c>
      <c r="AB174" s="21">
        <f t="shared" si="41"/>
        <v>0.51366393081210138</v>
      </c>
    </row>
    <row r="175" spans="1:28" ht="16" customHeight="1" x14ac:dyDescent="0.2">
      <c r="A175" t="s">
        <v>28</v>
      </c>
      <c r="B175" t="s">
        <v>29</v>
      </c>
      <c r="C175" t="s">
        <v>388</v>
      </c>
      <c r="D175" t="s">
        <v>389</v>
      </c>
      <c r="E175" t="s">
        <v>32</v>
      </c>
      <c r="F175" t="s">
        <v>33</v>
      </c>
      <c r="G175" t="s">
        <v>34</v>
      </c>
      <c r="H175" s="16" t="s">
        <v>67</v>
      </c>
      <c r="I175" s="16" t="s">
        <v>67</v>
      </c>
      <c r="J175" s="18" t="s">
        <v>67</v>
      </c>
      <c r="K175" s="18" t="s">
        <v>67</v>
      </c>
      <c r="L175" s="11" t="s">
        <v>247</v>
      </c>
      <c r="M175" s="11" t="s">
        <v>247</v>
      </c>
      <c r="N175" s="14">
        <v>20</v>
      </c>
      <c r="O175" s="11">
        <v>499.32</v>
      </c>
      <c r="P175" s="13">
        <v>10.78</v>
      </c>
      <c r="Q175" s="11">
        <f t="shared" si="31"/>
        <v>134.75</v>
      </c>
      <c r="R175" s="20">
        <f t="shared" si="32"/>
        <v>26.986701914603863</v>
      </c>
      <c r="S175" s="20">
        <f t="shared" si="33"/>
        <v>0.26986701914603861</v>
      </c>
      <c r="T175" s="15" t="str">
        <f t="shared" si="34"/>
        <v>no data</v>
      </c>
      <c r="U175" s="15" t="str">
        <f t="shared" si="35"/>
        <v>no data</v>
      </c>
      <c r="V175" s="22" t="s">
        <v>68</v>
      </c>
      <c r="W175" s="20">
        <f t="shared" si="36"/>
        <v>4.86278293135436</v>
      </c>
      <c r="X175" s="20">
        <f t="shared" si="37"/>
        <v>31.74</v>
      </c>
      <c r="Y175" s="21">
        <f t="shared" si="38"/>
        <v>0.13945345657806971</v>
      </c>
      <c r="Z175" s="21" t="str">
        <f t="shared" si="39"/>
        <v>-</v>
      </c>
      <c r="AA175" s="21" t="str">
        <f t="shared" si="40"/>
        <v>-</v>
      </c>
      <c r="AB175" s="21" t="str">
        <f t="shared" si="41"/>
        <v>-</v>
      </c>
    </row>
    <row r="176" spans="1:28" ht="16" customHeight="1" x14ac:dyDescent="0.2">
      <c r="A176" t="s">
        <v>28</v>
      </c>
      <c r="B176" t="s">
        <v>29</v>
      </c>
      <c r="C176" t="s">
        <v>390</v>
      </c>
      <c r="D176" t="s">
        <v>391</v>
      </c>
      <c r="E176" t="s">
        <v>32</v>
      </c>
      <c r="F176" t="s">
        <v>33</v>
      </c>
      <c r="G176" t="s">
        <v>34</v>
      </c>
      <c r="H176" s="15">
        <v>80.5</v>
      </c>
      <c r="I176" s="15">
        <f t="shared" ref="I176:I185" si="44">IF(H176=0, 0, -LOG10(H176*10^-6))</f>
        <v>4.0942041196321313</v>
      </c>
      <c r="J176" s="17">
        <v>0.879</v>
      </c>
      <c r="K176" s="17">
        <v>469000</v>
      </c>
      <c r="L176" s="11" t="s">
        <v>35</v>
      </c>
      <c r="M176" s="11" t="s">
        <v>35</v>
      </c>
      <c r="N176" s="14">
        <v>65</v>
      </c>
      <c r="O176" s="11">
        <v>249.11</v>
      </c>
      <c r="P176" s="13">
        <v>5.0199999999999996</v>
      </c>
      <c r="Q176" s="11">
        <f t="shared" si="31"/>
        <v>62.749999999999993</v>
      </c>
      <c r="R176" s="20">
        <f t="shared" si="32"/>
        <v>25.189675243868166</v>
      </c>
      <c r="S176" s="20">
        <f t="shared" si="33"/>
        <v>0.25189675243868165</v>
      </c>
      <c r="T176" s="15">
        <f t="shared" si="34"/>
        <v>20.277688571313874</v>
      </c>
      <c r="U176" s="15">
        <f t="shared" si="35"/>
        <v>4.6929815512092539</v>
      </c>
      <c r="V176" s="21">
        <v>0.29499999999999998</v>
      </c>
      <c r="W176" s="20">
        <f t="shared" si="36"/>
        <v>9.4556175298804774</v>
      </c>
      <c r="X176" s="20">
        <f t="shared" si="37"/>
        <v>31.74</v>
      </c>
      <c r="Y176" s="21">
        <f t="shared" si="38"/>
        <v>0.14383190064395174</v>
      </c>
      <c r="Z176" s="21">
        <f t="shared" si="39"/>
        <v>0.32819600186908371</v>
      </c>
      <c r="AA176" s="21">
        <f t="shared" si="40"/>
        <v>0.57819999999999994</v>
      </c>
      <c r="AB176" s="21">
        <f t="shared" si="41"/>
        <v>0.64326416366340411</v>
      </c>
    </row>
    <row r="177" spans="1:28" ht="16" customHeight="1" x14ac:dyDescent="0.2">
      <c r="A177" t="s">
        <v>28</v>
      </c>
      <c r="B177" t="s">
        <v>29</v>
      </c>
      <c r="C177" t="s">
        <v>392</v>
      </c>
      <c r="D177" t="s">
        <v>393</v>
      </c>
      <c r="E177" t="s">
        <v>32</v>
      </c>
      <c r="F177" t="s">
        <v>33</v>
      </c>
      <c r="G177" t="s">
        <v>34</v>
      </c>
      <c r="H177" s="15">
        <v>196</v>
      </c>
      <c r="I177" s="15">
        <f t="shared" si="44"/>
        <v>3.7077439286435241</v>
      </c>
      <c r="J177" s="17">
        <v>1.02</v>
      </c>
      <c r="K177" s="17">
        <v>534000</v>
      </c>
      <c r="L177" s="11" t="s">
        <v>35</v>
      </c>
      <c r="M177" s="11" t="s">
        <v>35</v>
      </c>
      <c r="N177" s="14">
        <v>65</v>
      </c>
      <c r="O177" s="11">
        <v>249.26</v>
      </c>
      <c r="P177" s="13">
        <v>5.2469999999999999</v>
      </c>
      <c r="Q177" s="11">
        <f t="shared" si="31"/>
        <v>65.587500000000006</v>
      </c>
      <c r="R177" s="20">
        <f t="shared" si="32"/>
        <v>26.312886142983231</v>
      </c>
      <c r="S177" s="20">
        <f t="shared" si="33"/>
        <v>0.26312886142983233</v>
      </c>
      <c r="T177" s="15">
        <f t="shared" si="34"/>
        <v>51.573256840247133</v>
      </c>
      <c r="U177" s="15">
        <f t="shared" si="35"/>
        <v>4.2875754421227317</v>
      </c>
      <c r="V177" s="21">
        <v>0.28999999999999998</v>
      </c>
      <c r="W177" s="20">
        <f t="shared" si="36"/>
        <v>9.0837469029921856</v>
      </c>
      <c r="X177" s="20">
        <f t="shared" si="37"/>
        <v>31.74</v>
      </c>
      <c r="Y177" s="21">
        <f t="shared" si="38"/>
        <v>0.14337915509778248</v>
      </c>
      <c r="Z177" s="21">
        <f t="shared" si="39"/>
        <v>0.3235082411880012</v>
      </c>
      <c r="AA177" s="21">
        <f t="shared" si="40"/>
        <v>0.56839999999999991</v>
      </c>
      <c r="AB177" s="21">
        <f t="shared" si="41"/>
        <v>0.63407615272848239</v>
      </c>
    </row>
    <row r="178" spans="1:28" ht="16" customHeight="1" x14ac:dyDescent="0.2">
      <c r="A178" t="s">
        <v>28</v>
      </c>
      <c r="B178" t="s">
        <v>29</v>
      </c>
      <c r="C178" t="s">
        <v>394</v>
      </c>
      <c r="D178" t="s">
        <v>395</v>
      </c>
      <c r="E178" t="s">
        <v>32</v>
      </c>
      <c r="F178" t="s">
        <v>38</v>
      </c>
      <c r="G178" t="s">
        <v>34</v>
      </c>
      <c r="H178" s="15">
        <v>17900</v>
      </c>
      <c r="I178" s="15">
        <f t="shared" si="44"/>
        <v>1.7471469690201069</v>
      </c>
      <c r="J178" s="17">
        <v>1.1299999999999999</v>
      </c>
      <c r="K178" s="17">
        <v>582000</v>
      </c>
      <c r="L178" s="11" t="s">
        <v>35</v>
      </c>
      <c r="M178" s="11" t="s">
        <v>35</v>
      </c>
      <c r="N178" s="14">
        <v>65</v>
      </c>
      <c r="O178" s="11">
        <v>250.39</v>
      </c>
      <c r="P178" s="13">
        <v>17.052</v>
      </c>
      <c r="Q178" s="11">
        <f t="shared" si="31"/>
        <v>213.15</v>
      </c>
      <c r="R178" s="20">
        <f t="shared" si="32"/>
        <v>85.127201565557741</v>
      </c>
      <c r="S178" s="20">
        <f t="shared" si="33"/>
        <v>0.85127201565557742</v>
      </c>
      <c r="T178" s="15">
        <f t="shared" si="34"/>
        <v>15237.769080234835</v>
      </c>
      <c r="U178" s="15">
        <f t="shared" si="35"/>
        <v>1.8170786122001823</v>
      </c>
      <c r="V178" s="21">
        <v>0.54400000000000004</v>
      </c>
      <c r="W178" s="20">
        <f t="shared" si="36"/>
        <v>3.3904949566033307</v>
      </c>
      <c r="X178" s="20">
        <f t="shared" si="37"/>
        <v>31.74</v>
      </c>
      <c r="Y178" s="21">
        <f t="shared" si="38"/>
        <v>0.13862929226032722</v>
      </c>
      <c r="Z178" s="21">
        <f t="shared" si="39"/>
        <v>0.56138585720749967</v>
      </c>
      <c r="AA178" s="21">
        <f t="shared" si="40"/>
        <v>1.0662400000000001</v>
      </c>
      <c r="AB178" s="21">
        <f t="shared" si="41"/>
        <v>1.1003162801266992</v>
      </c>
    </row>
    <row r="179" spans="1:28" ht="16" customHeight="1" x14ac:dyDescent="0.2">
      <c r="A179" t="s">
        <v>28</v>
      </c>
      <c r="B179" t="s">
        <v>29</v>
      </c>
      <c r="C179" t="s">
        <v>396</v>
      </c>
      <c r="D179" t="s">
        <v>397</v>
      </c>
      <c r="E179" t="s">
        <v>32</v>
      </c>
      <c r="F179" t="s">
        <v>38</v>
      </c>
      <c r="G179" t="s">
        <v>34</v>
      </c>
      <c r="H179" s="15">
        <v>1160</v>
      </c>
      <c r="I179" s="15">
        <f t="shared" si="44"/>
        <v>2.9355420107730814</v>
      </c>
      <c r="J179" s="17">
        <v>0.66800000000000004</v>
      </c>
      <c r="K179" s="17">
        <v>383000</v>
      </c>
      <c r="L179" s="11" t="s">
        <v>35</v>
      </c>
      <c r="M179" s="11" t="s">
        <v>35</v>
      </c>
      <c r="N179" s="14">
        <v>65</v>
      </c>
      <c r="O179" s="11">
        <v>249.78</v>
      </c>
      <c r="P179" s="13">
        <v>17.016999999999999</v>
      </c>
      <c r="Q179" s="11">
        <f t="shared" si="31"/>
        <v>212.71250000000001</v>
      </c>
      <c r="R179" s="20">
        <f t="shared" si="32"/>
        <v>85.159940747858116</v>
      </c>
      <c r="S179" s="20">
        <f t="shared" si="33"/>
        <v>0.85159940747858121</v>
      </c>
      <c r="T179" s="15">
        <f t="shared" si="34"/>
        <v>987.85531267515421</v>
      </c>
      <c r="U179" s="15">
        <f t="shared" si="35"/>
        <v>3.0053066601778538</v>
      </c>
      <c r="V179" s="21">
        <v>0.68</v>
      </c>
      <c r="W179" s="20">
        <f t="shared" si="36"/>
        <v>3.3956995945231236</v>
      </c>
      <c r="X179" s="20">
        <f t="shared" si="37"/>
        <v>31.74</v>
      </c>
      <c r="Y179" s="21">
        <f t="shared" si="38"/>
        <v>0.13863169494448618</v>
      </c>
      <c r="Z179" s="21">
        <f t="shared" si="39"/>
        <v>0.69398756966042352</v>
      </c>
      <c r="AA179" s="21">
        <f t="shared" si="40"/>
        <v>1.3328</v>
      </c>
      <c r="AB179" s="21">
        <f t="shared" si="41"/>
        <v>1.36021563653443</v>
      </c>
    </row>
    <row r="180" spans="1:28" ht="16" customHeight="1" x14ac:dyDescent="0.2">
      <c r="A180" t="s">
        <v>28</v>
      </c>
      <c r="B180" t="s">
        <v>29</v>
      </c>
      <c r="C180" t="s">
        <v>398</v>
      </c>
      <c r="D180" t="s">
        <v>399</v>
      </c>
      <c r="E180" t="s">
        <v>32</v>
      </c>
      <c r="F180" t="s">
        <v>38</v>
      </c>
      <c r="G180" t="s">
        <v>34</v>
      </c>
      <c r="H180" s="15">
        <v>20100</v>
      </c>
      <c r="I180" s="15">
        <f t="shared" si="44"/>
        <v>1.6968039425795112</v>
      </c>
      <c r="J180" s="17">
        <v>1.1299999999999999</v>
      </c>
      <c r="K180" s="17">
        <v>580000</v>
      </c>
      <c r="L180" s="11" t="s">
        <v>35</v>
      </c>
      <c r="M180" s="11" t="s">
        <v>35</v>
      </c>
      <c r="N180" s="14">
        <v>65</v>
      </c>
      <c r="O180" s="11">
        <v>249.44</v>
      </c>
      <c r="P180" s="13">
        <v>10.991</v>
      </c>
      <c r="Q180" s="11">
        <f t="shared" si="31"/>
        <v>137.38749999999999</v>
      </c>
      <c r="R180" s="20">
        <f t="shared" si="32"/>
        <v>55.078375561257211</v>
      </c>
      <c r="S180" s="20">
        <f t="shared" si="33"/>
        <v>0.55078375561257209</v>
      </c>
      <c r="T180" s="15">
        <f t="shared" si="34"/>
        <v>11070.753487812699</v>
      </c>
      <c r="U180" s="15">
        <f t="shared" si="35"/>
        <v>1.9558228195491929</v>
      </c>
      <c r="V180" s="21">
        <v>0.51</v>
      </c>
      <c r="W180" s="20">
        <f t="shared" si="36"/>
        <v>4.7859394049677011</v>
      </c>
      <c r="X180" s="20">
        <f t="shared" si="37"/>
        <v>31.74</v>
      </c>
      <c r="Y180" s="21">
        <f t="shared" si="38"/>
        <v>0.13940330731738607</v>
      </c>
      <c r="Z180" s="21">
        <f t="shared" si="39"/>
        <v>0.52870907131524192</v>
      </c>
      <c r="AA180" s="21">
        <f t="shared" si="40"/>
        <v>0.99960000000000004</v>
      </c>
      <c r="AB180" s="21">
        <f t="shared" si="41"/>
        <v>1.0362697797778742</v>
      </c>
    </row>
    <row r="181" spans="1:28" ht="16" customHeight="1" x14ac:dyDescent="0.2">
      <c r="A181" t="s">
        <v>28</v>
      </c>
      <c r="B181" t="s">
        <v>29</v>
      </c>
      <c r="C181" t="s">
        <v>400</v>
      </c>
      <c r="D181" t="s">
        <v>401</v>
      </c>
      <c r="E181" t="s">
        <v>32</v>
      </c>
      <c r="F181" t="s">
        <v>33</v>
      </c>
      <c r="G181" t="s">
        <v>34</v>
      </c>
      <c r="H181" s="15">
        <v>17.2</v>
      </c>
      <c r="I181" s="15">
        <f t="shared" si="44"/>
        <v>4.7644715530924513</v>
      </c>
      <c r="J181" s="17">
        <v>0.56699999999999995</v>
      </c>
      <c r="K181" s="17">
        <v>340000</v>
      </c>
      <c r="L181" s="11" t="s">
        <v>35</v>
      </c>
      <c r="M181" s="11" t="s">
        <v>35</v>
      </c>
      <c r="N181" s="14">
        <v>65</v>
      </c>
      <c r="O181" s="11">
        <v>250.75</v>
      </c>
      <c r="P181" s="13">
        <v>6.41</v>
      </c>
      <c r="Q181" s="11">
        <f t="shared" si="31"/>
        <v>80.125</v>
      </c>
      <c r="R181" s="20">
        <f t="shared" si="32"/>
        <v>31.954137587238286</v>
      </c>
      <c r="S181" s="20">
        <f t="shared" si="33"/>
        <v>0.31954137587238285</v>
      </c>
      <c r="T181" s="15">
        <f t="shared" si="34"/>
        <v>5.4961116650049844</v>
      </c>
      <c r="U181" s="15">
        <f t="shared" si="35"/>
        <v>5.2599444522580328</v>
      </c>
      <c r="V181" s="21">
        <v>9.7000000000000003E-2</v>
      </c>
      <c r="W181" s="20">
        <f t="shared" si="36"/>
        <v>7.5916692667706709</v>
      </c>
      <c r="X181" s="20">
        <f t="shared" si="37"/>
        <v>31.74</v>
      </c>
      <c r="Y181" s="21">
        <f t="shared" si="38"/>
        <v>0.14173318969135917</v>
      </c>
      <c r="Z181" s="21">
        <f t="shared" si="39"/>
        <v>0.17174777163062932</v>
      </c>
      <c r="AA181" s="21">
        <f t="shared" si="40"/>
        <v>0.19012000000000001</v>
      </c>
      <c r="AB181" s="21">
        <f t="shared" si="41"/>
        <v>0.33662563239603344</v>
      </c>
    </row>
    <row r="182" spans="1:28" ht="16" customHeight="1" x14ac:dyDescent="0.2">
      <c r="A182" t="s">
        <v>28</v>
      </c>
      <c r="B182" t="s">
        <v>29</v>
      </c>
      <c r="C182" t="s">
        <v>402</v>
      </c>
      <c r="D182" t="s">
        <v>403</v>
      </c>
      <c r="E182" t="s">
        <v>32</v>
      </c>
      <c r="F182" t="s">
        <v>33</v>
      </c>
      <c r="G182" t="s">
        <v>34</v>
      </c>
      <c r="H182" s="15">
        <v>7.33</v>
      </c>
      <c r="I182" s="15">
        <f t="shared" si="44"/>
        <v>5.1348960253588718</v>
      </c>
      <c r="J182" s="17">
        <v>0.55000000000000004</v>
      </c>
      <c r="K182" s="17">
        <v>297000</v>
      </c>
      <c r="L182" s="11" t="s">
        <v>35</v>
      </c>
      <c r="M182" s="11" t="s">
        <v>35</v>
      </c>
      <c r="N182" s="14">
        <v>65</v>
      </c>
      <c r="O182" s="11">
        <v>250.57</v>
      </c>
      <c r="P182" s="13">
        <v>9.42</v>
      </c>
      <c r="Q182" s="11">
        <f t="shared" si="31"/>
        <v>117.75</v>
      </c>
      <c r="R182" s="20">
        <f t="shared" si="32"/>
        <v>46.992856287664125</v>
      </c>
      <c r="S182" s="20">
        <f t="shared" si="33"/>
        <v>0.46992856287664125</v>
      </c>
      <c r="T182" s="15">
        <f t="shared" si="34"/>
        <v>3.4445763658857804</v>
      </c>
      <c r="U182" s="15">
        <f t="shared" si="35"/>
        <v>5.462864182543373</v>
      </c>
      <c r="V182" s="21">
        <v>0.17399999999999999</v>
      </c>
      <c r="W182" s="20">
        <f t="shared" si="36"/>
        <v>5.4406794055201697</v>
      </c>
      <c r="X182" s="20">
        <f t="shared" si="37"/>
        <v>31.74</v>
      </c>
      <c r="Y182" s="21">
        <f t="shared" si="38"/>
        <v>0.13985554070573386</v>
      </c>
      <c r="Z182" s="21">
        <f t="shared" si="39"/>
        <v>0.22323882338449372</v>
      </c>
      <c r="AA182" s="21">
        <f t="shared" si="40"/>
        <v>0.34103999999999995</v>
      </c>
      <c r="AB182" s="21">
        <f t="shared" si="41"/>
        <v>0.43754809383360765</v>
      </c>
    </row>
    <row r="183" spans="1:28" ht="16" customHeight="1" x14ac:dyDescent="0.2">
      <c r="A183" t="s">
        <v>28</v>
      </c>
      <c r="B183" t="s">
        <v>29</v>
      </c>
      <c r="C183" t="s">
        <v>404</v>
      </c>
      <c r="D183" t="s">
        <v>405</v>
      </c>
      <c r="E183" t="s">
        <v>32</v>
      </c>
      <c r="F183" t="s">
        <v>33</v>
      </c>
      <c r="G183" t="s">
        <v>34</v>
      </c>
      <c r="H183" s="15">
        <v>846</v>
      </c>
      <c r="I183" s="15">
        <f t="shared" si="44"/>
        <v>3.0726296369609765</v>
      </c>
      <c r="J183" s="17">
        <v>1.64</v>
      </c>
      <c r="K183" s="17">
        <v>785000</v>
      </c>
      <c r="L183" s="11" t="s">
        <v>35</v>
      </c>
      <c r="M183" s="11" t="s">
        <v>81</v>
      </c>
      <c r="N183" s="14">
        <v>65</v>
      </c>
      <c r="O183" s="11">
        <v>249.4</v>
      </c>
      <c r="P183" s="23" t="s">
        <v>82</v>
      </c>
      <c r="Q183" s="11" t="str">
        <f t="shared" si="31"/>
        <v>-</v>
      </c>
      <c r="R183" s="24" t="str">
        <f t="shared" si="32"/>
        <v>-</v>
      </c>
      <c r="S183" s="20" t="str">
        <f t="shared" si="33"/>
        <v>-</v>
      </c>
      <c r="T183" s="15" t="str">
        <f t="shared" si="34"/>
        <v>-</v>
      </c>
      <c r="U183" s="15" t="str">
        <f t="shared" si="35"/>
        <v>-</v>
      </c>
      <c r="V183" s="21">
        <v>0.21299999999999999</v>
      </c>
      <c r="W183" s="20" t="str">
        <f t="shared" si="36"/>
        <v>-</v>
      </c>
      <c r="X183" s="20" t="str">
        <f t="shared" si="37"/>
        <v>-</v>
      </c>
      <c r="Y183" s="21" t="str">
        <f t="shared" si="38"/>
        <v>-</v>
      </c>
      <c r="Z183" s="21" t="str">
        <f t="shared" si="39"/>
        <v>-</v>
      </c>
      <c r="AA183" s="21">
        <f t="shared" si="40"/>
        <v>0.41747999999999996</v>
      </c>
      <c r="AB183" s="21" t="str">
        <f t="shared" si="41"/>
        <v>-</v>
      </c>
    </row>
    <row r="184" spans="1:28" ht="16" customHeight="1" x14ac:dyDescent="0.2">
      <c r="A184" t="s">
        <v>28</v>
      </c>
      <c r="B184" t="s">
        <v>29</v>
      </c>
      <c r="C184" t="s">
        <v>406</v>
      </c>
      <c r="D184" t="s">
        <v>407</v>
      </c>
      <c r="E184" t="s">
        <v>32</v>
      </c>
      <c r="F184" t="s">
        <v>38</v>
      </c>
      <c r="G184" t="s">
        <v>34</v>
      </c>
      <c r="H184" s="15">
        <v>18000</v>
      </c>
      <c r="I184" s="15">
        <f t="shared" si="44"/>
        <v>1.744727494896694</v>
      </c>
      <c r="J184" s="17">
        <v>1.1299999999999999</v>
      </c>
      <c r="K184" s="17">
        <v>580000</v>
      </c>
      <c r="L184" s="11" t="s">
        <v>35</v>
      </c>
      <c r="M184" s="11" t="s">
        <v>35</v>
      </c>
      <c r="N184" s="14">
        <v>65</v>
      </c>
      <c r="O184" s="11">
        <v>250.4</v>
      </c>
      <c r="P184" s="13">
        <v>7.548</v>
      </c>
      <c r="Q184" s="11">
        <f t="shared" si="31"/>
        <v>94.35</v>
      </c>
      <c r="R184" s="20">
        <f t="shared" si="32"/>
        <v>37.679712460063897</v>
      </c>
      <c r="S184" s="20">
        <f t="shared" si="33"/>
        <v>0.37679712460063897</v>
      </c>
      <c r="T184" s="15">
        <f t="shared" si="34"/>
        <v>6782.3482428115012</v>
      </c>
      <c r="U184" s="15">
        <f t="shared" si="35"/>
        <v>2.1686199149341361</v>
      </c>
      <c r="V184" s="21">
        <v>0.53300000000000003</v>
      </c>
      <c r="W184" s="20">
        <f t="shared" si="36"/>
        <v>6.5767461579226287</v>
      </c>
      <c r="X184" s="20">
        <f t="shared" si="37"/>
        <v>31.74</v>
      </c>
      <c r="Y184" s="21">
        <f t="shared" si="38"/>
        <v>0.14077313744778819</v>
      </c>
      <c r="Z184" s="21">
        <f t="shared" si="39"/>
        <v>0.55127676917034507</v>
      </c>
      <c r="AA184" s="21">
        <f t="shared" si="40"/>
        <v>1.0446800000000001</v>
      </c>
      <c r="AB184" s="21">
        <f t="shared" si="41"/>
        <v>1.0805024675738764</v>
      </c>
    </row>
    <row r="185" spans="1:28" ht="16" customHeight="1" x14ac:dyDescent="0.2">
      <c r="A185" t="s">
        <v>28</v>
      </c>
      <c r="B185" t="s">
        <v>29</v>
      </c>
      <c r="C185" t="s">
        <v>408</v>
      </c>
      <c r="D185" t="s">
        <v>409</v>
      </c>
      <c r="E185" t="s">
        <v>32</v>
      </c>
      <c r="F185" t="s">
        <v>38</v>
      </c>
      <c r="G185" t="s">
        <v>34</v>
      </c>
      <c r="H185" s="15">
        <v>17600</v>
      </c>
      <c r="I185" s="15">
        <f t="shared" si="44"/>
        <v>1.7544873321858503</v>
      </c>
      <c r="J185" s="17">
        <v>1.27</v>
      </c>
      <c r="K185" s="17">
        <v>630000</v>
      </c>
      <c r="L185" s="11" t="s">
        <v>35</v>
      </c>
      <c r="M185" s="11" t="s">
        <v>35</v>
      </c>
      <c r="N185" s="14">
        <v>65</v>
      </c>
      <c r="O185" s="11">
        <v>250.01</v>
      </c>
      <c r="P185" s="13">
        <v>13.468</v>
      </c>
      <c r="Q185" s="11">
        <f t="shared" si="31"/>
        <v>168.35</v>
      </c>
      <c r="R185" s="20">
        <f t="shared" si="32"/>
        <v>67.337306507739697</v>
      </c>
      <c r="S185" s="20">
        <f t="shared" si="33"/>
        <v>0.67337306507739703</v>
      </c>
      <c r="T185" s="15">
        <f t="shared" si="34"/>
        <v>11851.365945362188</v>
      </c>
      <c r="U185" s="15">
        <f t="shared" si="35"/>
        <v>1.9262315915656301</v>
      </c>
      <c r="V185" s="21">
        <v>0.55100000000000005</v>
      </c>
      <c r="W185" s="20">
        <f t="shared" si="36"/>
        <v>4.0638907038907037</v>
      </c>
      <c r="X185" s="20">
        <f t="shared" si="37"/>
        <v>31.74</v>
      </c>
      <c r="Y185" s="21">
        <f t="shared" si="38"/>
        <v>0.13897035316724957</v>
      </c>
      <c r="Z185" s="21">
        <f t="shared" si="39"/>
        <v>0.5682550123487079</v>
      </c>
      <c r="AA185" s="21">
        <f t="shared" si="40"/>
        <v>1.07996</v>
      </c>
      <c r="AB185" s="21">
        <f t="shared" si="41"/>
        <v>1.1137798242034675</v>
      </c>
    </row>
    <row r="186" spans="1:28" ht="16" customHeight="1" x14ac:dyDescent="0.2">
      <c r="A186" t="s">
        <v>28</v>
      </c>
      <c r="B186" t="s">
        <v>29</v>
      </c>
      <c r="C186" t="s">
        <v>410</v>
      </c>
      <c r="D186" t="s">
        <v>411</v>
      </c>
      <c r="E186" t="s">
        <v>32</v>
      </c>
      <c r="F186" t="s">
        <v>38</v>
      </c>
      <c r="G186" t="s">
        <v>34</v>
      </c>
      <c r="H186" s="16" t="s">
        <v>67</v>
      </c>
      <c r="I186" s="16" t="s">
        <v>67</v>
      </c>
      <c r="J186" s="18" t="s">
        <v>67</v>
      </c>
      <c r="K186" s="18" t="s">
        <v>67</v>
      </c>
      <c r="L186" s="11" t="s">
        <v>35</v>
      </c>
      <c r="M186" s="11" t="s">
        <v>35</v>
      </c>
      <c r="N186" s="14">
        <v>65</v>
      </c>
      <c r="O186" s="11">
        <v>250.36</v>
      </c>
      <c r="P186" s="13">
        <v>14.012</v>
      </c>
      <c r="Q186" s="11">
        <f t="shared" si="31"/>
        <v>175.15</v>
      </c>
      <c r="R186" s="20">
        <f t="shared" si="32"/>
        <v>69.959258667518782</v>
      </c>
      <c r="S186" s="20">
        <f t="shared" si="33"/>
        <v>0.69959258667518787</v>
      </c>
      <c r="T186" s="15" t="str">
        <f t="shared" si="34"/>
        <v>no data</v>
      </c>
      <c r="U186" s="15" t="str">
        <f t="shared" si="35"/>
        <v>no data</v>
      </c>
      <c r="V186" s="22" t="s">
        <v>68</v>
      </c>
      <c r="W186" s="20">
        <f t="shared" si="36"/>
        <v>3.9395032829003709</v>
      </c>
      <c r="X186" s="20">
        <f t="shared" si="37"/>
        <v>31.74</v>
      </c>
      <c r="Y186" s="21">
        <f t="shared" si="38"/>
        <v>0.13890278024134736</v>
      </c>
      <c r="Z186" s="21" t="str">
        <f t="shared" si="39"/>
        <v>-</v>
      </c>
      <c r="AA186" s="21" t="str">
        <f t="shared" si="40"/>
        <v>-</v>
      </c>
      <c r="AB186" s="21" t="str">
        <f t="shared" si="41"/>
        <v>-</v>
      </c>
    </row>
    <row r="187" spans="1:28" ht="16" customHeight="1" x14ac:dyDescent="0.2">
      <c r="A187" t="s">
        <v>28</v>
      </c>
      <c r="B187" t="s">
        <v>29</v>
      </c>
      <c r="C187" t="s">
        <v>412</v>
      </c>
      <c r="D187" t="s">
        <v>413</v>
      </c>
      <c r="E187" t="s">
        <v>32</v>
      </c>
      <c r="F187" t="s">
        <v>33</v>
      </c>
      <c r="G187" t="s">
        <v>34</v>
      </c>
      <c r="H187" s="15">
        <v>269</v>
      </c>
      <c r="I187" s="15">
        <f t="shared" ref="I187:I194" si="45">IF(H187=0, 0, -LOG10(H187*10^-6))</f>
        <v>3.5702477199975919</v>
      </c>
      <c r="J187" s="17">
        <v>1.05</v>
      </c>
      <c r="K187" s="17">
        <v>488000</v>
      </c>
      <c r="L187" s="11" t="s">
        <v>35</v>
      </c>
      <c r="M187" s="11" t="s">
        <v>35</v>
      </c>
      <c r="N187" s="14">
        <v>65</v>
      </c>
      <c r="O187" s="11">
        <v>249.55</v>
      </c>
      <c r="P187" s="13">
        <v>11.975</v>
      </c>
      <c r="Q187" s="11">
        <f t="shared" si="31"/>
        <v>149.6875</v>
      </c>
      <c r="R187" s="20">
        <f t="shared" si="32"/>
        <v>59.982969344820667</v>
      </c>
      <c r="S187" s="20">
        <f t="shared" si="33"/>
        <v>0.59982969344820669</v>
      </c>
      <c r="T187" s="15">
        <f t="shared" si="34"/>
        <v>161.35418753756761</v>
      </c>
      <c r="U187" s="15">
        <f t="shared" si="35"/>
        <v>3.7922197591050759</v>
      </c>
      <c r="V187" s="21">
        <v>0.28000000000000003</v>
      </c>
      <c r="W187" s="20">
        <f t="shared" si="36"/>
        <v>4.4633402922755741</v>
      </c>
      <c r="X187" s="20">
        <f t="shared" si="37"/>
        <v>31.74</v>
      </c>
      <c r="Y187" s="21">
        <f t="shared" si="38"/>
        <v>0.13920130730397412</v>
      </c>
      <c r="Z187" s="21">
        <f t="shared" si="39"/>
        <v>0.31269314663921793</v>
      </c>
      <c r="AA187" s="21">
        <f t="shared" si="40"/>
        <v>0.54880000000000007</v>
      </c>
      <c r="AB187" s="21">
        <f t="shared" si="41"/>
        <v>0.61287856741286717</v>
      </c>
    </row>
    <row r="188" spans="1:28" ht="16" customHeight="1" x14ac:dyDescent="0.2">
      <c r="A188" t="s">
        <v>28</v>
      </c>
      <c r="B188" t="s">
        <v>29</v>
      </c>
      <c r="C188" t="s">
        <v>414</v>
      </c>
      <c r="D188" t="s">
        <v>415</v>
      </c>
      <c r="E188" t="s">
        <v>32</v>
      </c>
      <c r="F188" t="s">
        <v>33</v>
      </c>
      <c r="G188" t="s">
        <v>34</v>
      </c>
      <c r="H188" s="15">
        <v>15.4</v>
      </c>
      <c r="I188" s="15">
        <f t="shared" si="45"/>
        <v>4.8124792791635373</v>
      </c>
      <c r="J188" s="17">
        <v>0.52400000000000002</v>
      </c>
      <c r="K188" s="17">
        <v>322000</v>
      </c>
      <c r="L188" s="11" t="s">
        <v>35</v>
      </c>
      <c r="M188" s="11" t="s">
        <v>35</v>
      </c>
      <c r="N188" s="14">
        <v>65</v>
      </c>
      <c r="O188" s="11">
        <v>250.58</v>
      </c>
      <c r="P188" s="13">
        <v>11.827</v>
      </c>
      <c r="Q188" s="11">
        <f t="shared" si="31"/>
        <v>147.83750000000001</v>
      </c>
      <c r="R188" s="20">
        <f t="shared" si="32"/>
        <v>58.998124351504508</v>
      </c>
      <c r="S188" s="20">
        <f t="shared" si="33"/>
        <v>0.58998124351504511</v>
      </c>
      <c r="T188" s="15">
        <f t="shared" si="34"/>
        <v>9.0857111501316954</v>
      </c>
      <c r="U188" s="15">
        <f t="shared" si="35"/>
        <v>5.0416410742457982</v>
      </c>
      <c r="V188" s="21">
        <v>0.14699999999999999</v>
      </c>
      <c r="W188" s="20">
        <f t="shared" si="36"/>
        <v>4.508431554916716</v>
      </c>
      <c r="X188" s="20">
        <f t="shared" si="37"/>
        <v>31.74</v>
      </c>
      <c r="Y188" s="21">
        <f t="shared" si="38"/>
        <v>0.13922871188600811</v>
      </c>
      <c r="Z188" s="21">
        <f t="shared" si="39"/>
        <v>0.20246884751348057</v>
      </c>
      <c r="AA188" s="21">
        <f t="shared" si="40"/>
        <v>0.28811999999999999</v>
      </c>
      <c r="AB188" s="21">
        <f t="shared" si="41"/>
        <v>0.39683894112642193</v>
      </c>
    </row>
    <row r="189" spans="1:28" ht="16" customHeight="1" x14ac:dyDescent="0.2">
      <c r="A189" t="s">
        <v>28</v>
      </c>
      <c r="B189" t="s">
        <v>29</v>
      </c>
      <c r="C189" t="s">
        <v>416</v>
      </c>
      <c r="D189" t="s">
        <v>417</v>
      </c>
      <c r="E189" t="s">
        <v>32</v>
      </c>
      <c r="F189" t="s">
        <v>33</v>
      </c>
      <c r="G189" t="s">
        <v>34</v>
      </c>
      <c r="H189" s="15">
        <v>87.1</v>
      </c>
      <c r="I189" s="15">
        <f t="shared" si="45"/>
        <v>4.0599818449923371</v>
      </c>
      <c r="J189" s="17">
        <v>0.68200000000000005</v>
      </c>
      <c r="K189" s="17">
        <v>387000</v>
      </c>
      <c r="L189" s="11" t="s">
        <v>35</v>
      </c>
      <c r="M189" s="11" t="s">
        <v>35</v>
      </c>
      <c r="N189" s="14">
        <v>65</v>
      </c>
      <c r="O189" s="11">
        <v>249.47</v>
      </c>
      <c r="P189" s="13">
        <v>15.629</v>
      </c>
      <c r="Q189" s="11">
        <f t="shared" si="31"/>
        <v>195.36249999999998</v>
      </c>
      <c r="R189" s="20">
        <f t="shared" si="32"/>
        <v>78.31101936104541</v>
      </c>
      <c r="S189" s="20">
        <f t="shared" si="33"/>
        <v>0.78311019361045409</v>
      </c>
      <c r="T189" s="15">
        <f t="shared" si="34"/>
        <v>68.20889786347054</v>
      </c>
      <c r="U189" s="15">
        <f t="shared" si="35"/>
        <v>4.1661589678516417</v>
      </c>
      <c r="V189" s="21">
        <v>0.214</v>
      </c>
      <c r="W189" s="20">
        <f t="shared" si="36"/>
        <v>3.6208932113378975</v>
      </c>
      <c r="X189" s="20">
        <f t="shared" si="37"/>
        <v>31.74</v>
      </c>
      <c r="Y189" s="21">
        <f t="shared" si="38"/>
        <v>0.13873914092594952</v>
      </c>
      <c r="Z189" s="21">
        <f t="shared" si="39"/>
        <v>0.25503832893286937</v>
      </c>
      <c r="AA189" s="21">
        <f t="shared" si="40"/>
        <v>0.41943999999999998</v>
      </c>
      <c r="AB189" s="21">
        <f t="shared" si="41"/>
        <v>0.49987512470842399</v>
      </c>
    </row>
    <row r="190" spans="1:28" ht="16" customHeight="1" x14ac:dyDescent="0.2">
      <c r="A190" t="s">
        <v>28</v>
      </c>
      <c r="B190" t="s">
        <v>29</v>
      </c>
      <c r="C190" t="s">
        <v>418</v>
      </c>
      <c r="D190" t="s">
        <v>419</v>
      </c>
      <c r="E190" t="s">
        <v>32</v>
      </c>
      <c r="F190" t="s">
        <v>33</v>
      </c>
      <c r="G190" t="s">
        <v>34</v>
      </c>
      <c r="H190" s="15">
        <v>13</v>
      </c>
      <c r="I190" s="15">
        <f t="shared" si="45"/>
        <v>4.8860566476931631</v>
      </c>
      <c r="J190" s="17">
        <v>0.51500000000000001</v>
      </c>
      <c r="K190" s="17">
        <v>318000</v>
      </c>
      <c r="L190" s="11" t="s">
        <v>35</v>
      </c>
      <c r="M190" s="11" t="s">
        <v>35</v>
      </c>
      <c r="N190" s="14">
        <v>65</v>
      </c>
      <c r="O190" s="11">
        <v>250.15</v>
      </c>
      <c r="P190" s="13">
        <v>18.594000000000001</v>
      </c>
      <c r="Q190" s="11">
        <f t="shared" si="31"/>
        <v>232.42500000000001</v>
      </c>
      <c r="R190" s="20">
        <f t="shared" si="32"/>
        <v>92.914251449130518</v>
      </c>
      <c r="S190" s="20">
        <f t="shared" si="33"/>
        <v>0.92914251449130514</v>
      </c>
      <c r="T190" s="15">
        <f t="shared" si="34"/>
        <v>12.078852688386966</v>
      </c>
      <c r="U190" s="15">
        <f t="shared" si="35"/>
        <v>4.917974315281608</v>
      </c>
      <c r="V190" s="21">
        <v>0.109</v>
      </c>
      <c r="W190" s="20">
        <f t="shared" si="36"/>
        <v>3.1806410670108636</v>
      </c>
      <c r="X190" s="20">
        <f t="shared" si="37"/>
        <v>31.74</v>
      </c>
      <c r="Y190" s="21">
        <f t="shared" si="38"/>
        <v>0.13853545223505673</v>
      </c>
      <c r="Z190" s="21">
        <f t="shared" si="39"/>
        <v>0.17627555566774333</v>
      </c>
      <c r="AA190" s="21">
        <f t="shared" si="40"/>
        <v>0.21364</v>
      </c>
      <c r="AB190" s="21">
        <f t="shared" si="41"/>
        <v>0.34550008910877694</v>
      </c>
    </row>
    <row r="191" spans="1:28" ht="16" customHeight="1" x14ac:dyDescent="0.2">
      <c r="A191" t="s">
        <v>28</v>
      </c>
      <c r="B191" t="s">
        <v>29</v>
      </c>
      <c r="C191" t="s">
        <v>420</v>
      </c>
      <c r="D191" t="s">
        <v>421</v>
      </c>
      <c r="E191" t="s">
        <v>32</v>
      </c>
      <c r="F191" t="s">
        <v>33</v>
      </c>
      <c r="G191" t="s">
        <v>34</v>
      </c>
      <c r="H191" s="15">
        <v>145</v>
      </c>
      <c r="I191" s="15">
        <f t="shared" si="45"/>
        <v>3.8386319977650252</v>
      </c>
      <c r="J191" s="17">
        <v>1.1000000000000001</v>
      </c>
      <c r="K191" s="17">
        <v>560000</v>
      </c>
      <c r="L191" s="11" t="s">
        <v>35</v>
      </c>
      <c r="M191" s="11" t="s">
        <v>81</v>
      </c>
      <c r="N191" s="14">
        <v>65</v>
      </c>
      <c r="O191" s="11">
        <v>249.95</v>
      </c>
      <c r="P191" s="23" t="s">
        <v>82</v>
      </c>
      <c r="Q191" s="11" t="str">
        <f t="shared" si="31"/>
        <v>-</v>
      </c>
      <c r="R191" s="24" t="str">
        <f t="shared" si="32"/>
        <v>-</v>
      </c>
      <c r="S191" s="20" t="str">
        <f t="shared" si="33"/>
        <v>-</v>
      </c>
      <c r="T191" s="15" t="str">
        <f t="shared" si="34"/>
        <v>-</v>
      </c>
      <c r="U191" s="15" t="str">
        <f t="shared" si="35"/>
        <v>-</v>
      </c>
      <c r="V191" s="21">
        <v>0.24299999999999999</v>
      </c>
      <c r="W191" s="20" t="str">
        <f t="shared" si="36"/>
        <v>-</v>
      </c>
      <c r="X191" s="20" t="str">
        <f t="shared" si="37"/>
        <v>-</v>
      </c>
      <c r="Y191" s="21" t="str">
        <f t="shared" si="38"/>
        <v>-</v>
      </c>
      <c r="Z191" s="21" t="str">
        <f t="shared" si="39"/>
        <v>-</v>
      </c>
      <c r="AA191" s="21">
        <f t="shared" si="40"/>
        <v>0.47627999999999998</v>
      </c>
      <c r="AB191" s="21" t="str">
        <f t="shared" si="41"/>
        <v>-</v>
      </c>
    </row>
    <row r="192" spans="1:28" ht="16" customHeight="1" x14ac:dyDescent="0.2">
      <c r="A192" t="s">
        <v>28</v>
      </c>
      <c r="B192" t="s">
        <v>29</v>
      </c>
      <c r="C192" t="s">
        <v>422</v>
      </c>
      <c r="D192" t="s">
        <v>423</v>
      </c>
      <c r="E192" t="s">
        <v>32</v>
      </c>
      <c r="F192" t="s">
        <v>33</v>
      </c>
      <c r="G192" t="s">
        <v>34</v>
      </c>
      <c r="H192" s="15">
        <v>2.15</v>
      </c>
      <c r="I192" s="15">
        <f t="shared" si="45"/>
        <v>5.6675615400843951</v>
      </c>
      <c r="J192" s="17">
        <v>0.57999999999999996</v>
      </c>
      <c r="K192" s="17">
        <v>346000</v>
      </c>
      <c r="L192" s="11" t="s">
        <v>35</v>
      </c>
      <c r="M192" s="11" t="s">
        <v>35</v>
      </c>
      <c r="N192" s="14">
        <v>65</v>
      </c>
      <c r="O192" s="11">
        <v>249.9</v>
      </c>
      <c r="P192" s="13">
        <v>9.0220000000000002</v>
      </c>
      <c r="Q192" s="11">
        <f t="shared" si="31"/>
        <v>112.77500000000001</v>
      </c>
      <c r="R192" s="20">
        <f t="shared" si="32"/>
        <v>45.128051220488196</v>
      </c>
      <c r="S192" s="20">
        <f t="shared" si="33"/>
        <v>0.45128051220488197</v>
      </c>
      <c r="T192" s="15">
        <f t="shared" si="34"/>
        <v>0.97025310124049624</v>
      </c>
      <c r="U192" s="15">
        <f t="shared" si="35"/>
        <v>6.0131149604410963</v>
      </c>
      <c r="V192" s="21">
        <v>0.106</v>
      </c>
      <c r="W192" s="20">
        <f t="shared" si="36"/>
        <v>5.6427532697849703</v>
      </c>
      <c r="X192" s="20">
        <f t="shared" si="37"/>
        <v>31.74</v>
      </c>
      <c r="Y192" s="21">
        <f t="shared" si="38"/>
        <v>0.14000648235378507</v>
      </c>
      <c r="Z192" s="21">
        <f t="shared" si="39"/>
        <v>0.17560699046757999</v>
      </c>
      <c r="AA192" s="21">
        <f t="shared" si="40"/>
        <v>0.20776</v>
      </c>
      <c r="AB192" s="21">
        <f t="shared" si="41"/>
        <v>0.34418970131645676</v>
      </c>
    </row>
    <row r="193" spans="1:28" ht="16" customHeight="1" x14ac:dyDescent="0.2">
      <c r="A193" t="s">
        <v>28</v>
      </c>
      <c r="B193" t="s">
        <v>29</v>
      </c>
      <c r="C193" t="s">
        <v>424</v>
      </c>
      <c r="D193" t="s">
        <v>425</v>
      </c>
      <c r="E193" t="s">
        <v>32</v>
      </c>
      <c r="F193" t="s">
        <v>33</v>
      </c>
      <c r="G193" t="s">
        <v>34</v>
      </c>
      <c r="H193" s="15">
        <v>12.1</v>
      </c>
      <c r="I193" s="15">
        <f t="shared" si="45"/>
        <v>4.9172146296835502</v>
      </c>
      <c r="J193" s="17">
        <v>0.70899999999999996</v>
      </c>
      <c r="K193" s="17">
        <v>399000</v>
      </c>
      <c r="L193" s="11" t="s">
        <v>35</v>
      </c>
      <c r="M193" s="11" t="s">
        <v>35</v>
      </c>
      <c r="N193" s="14">
        <v>65</v>
      </c>
      <c r="O193" s="11">
        <v>249.02</v>
      </c>
      <c r="P193" s="13">
        <v>16.468</v>
      </c>
      <c r="Q193" s="11">
        <f t="shared" si="31"/>
        <v>205.85</v>
      </c>
      <c r="R193" s="20">
        <f t="shared" si="32"/>
        <v>82.664043048751097</v>
      </c>
      <c r="S193" s="20">
        <f t="shared" si="33"/>
        <v>0.82664043048751101</v>
      </c>
      <c r="T193" s="15">
        <f t="shared" si="34"/>
        <v>10.002349208898883</v>
      </c>
      <c r="U193" s="15">
        <f t="shared" si="35"/>
        <v>4.9998979871358449</v>
      </c>
      <c r="V193" s="21">
        <v>0.12</v>
      </c>
      <c r="W193" s="20">
        <f t="shared" si="36"/>
        <v>3.4802331794996353</v>
      </c>
      <c r="X193" s="20">
        <f t="shared" si="37"/>
        <v>31.74</v>
      </c>
      <c r="Y193" s="21">
        <f t="shared" si="38"/>
        <v>0.13867122933814885</v>
      </c>
      <c r="Z193" s="21">
        <f t="shared" si="39"/>
        <v>0.18338405014109999</v>
      </c>
      <c r="AA193" s="21">
        <f t="shared" si="40"/>
        <v>0.23519999999999999</v>
      </c>
      <c r="AB193" s="21">
        <f t="shared" si="41"/>
        <v>0.35943273827655597</v>
      </c>
    </row>
    <row r="194" spans="1:28" ht="16" customHeight="1" x14ac:dyDescent="0.2">
      <c r="A194" t="s">
        <v>28</v>
      </c>
      <c r="B194" t="s">
        <v>29</v>
      </c>
      <c r="C194" t="s">
        <v>426</v>
      </c>
      <c r="D194" t="s">
        <v>427</v>
      </c>
      <c r="E194" t="s">
        <v>32</v>
      </c>
      <c r="F194" t="s">
        <v>33</v>
      </c>
      <c r="G194" t="s">
        <v>34</v>
      </c>
      <c r="H194" s="15">
        <v>1.53</v>
      </c>
      <c r="I194" s="15">
        <f t="shared" si="45"/>
        <v>5.8153085691824016</v>
      </c>
      <c r="J194" s="17">
        <v>0.46800000000000003</v>
      </c>
      <c r="K194" s="17">
        <v>298000</v>
      </c>
      <c r="L194" s="11" t="s">
        <v>247</v>
      </c>
      <c r="M194" s="11" t="s">
        <v>247</v>
      </c>
      <c r="N194" s="14">
        <v>20</v>
      </c>
      <c r="O194" s="11">
        <v>499.58</v>
      </c>
      <c r="P194" s="13">
        <v>3.6</v>
      </c>
      <c r="Q194" s="11">
        <f t="shared" ref="Q194:Q257" si="46">IF(ISNUMBER(P194),12.5*P194,"-")</f>
        <v>45</v>
      </c>
      <c r="R194" s="20">
        <f t="shared" ref="R194:R257" si="47">IF(OR(Q194="-",O194="",O194=0),"-",Q194/O194*100)</f>
        <v>9.0075663557388204</v>
      </c>
      <c r="S194" s="20">
        <f t="shared" ref="S194:S257" si="48">IF(R194="-","-",R194/100)</f>
        <v>9.0075663557388205E-2</v>
      </c>
      <c r="T194" s="15">
        <f t="shared" ref="T194:T257" si="49">IF(H194="no data","no data",IF(OR(H194="",S194="-",S194=""),"-",H194*S194))</f>
        <v>0.13781576524280395</v>
      </c>
      <c r="U194" s="15">
        <f t="shared" ref="U194:U257" si="50">IF(T194="no data","no data",IF(T194="-","-",IF(T194="","",IF(T194=0,0,-LOG10(T194*10^-6)))))</f>
        <v>6.8607010990733279</v>
      </c>
      <c r="V194" s="21">
        <v>6.9699999999999998E-2</v>
      </c>
      <c r="W194" s="20">
        <f t="shared" ref="W194:W257" si="51">IF(OR(NOT(ISNUMBER(P194)),P194=0),"-",43.15/P194+0.86)</f>
        <v>12.84611111111111</v>
      </c>
      <c r="X194" s="20">
        <f t="shared" ref="X194:X257" si="52">IF(W194="-","-",31.74)</f>
        <v>31.74</v>
      </c>
      <c r="Y194" s="21">
        <f t="shared" ref="Y194:Y257" si="53">IF(OR(W194="-",X194="-"),"-",SQRT((W194/100)^2+(X194/100)^2)/LN(10))</f>
        <v>0.14870703290474355</v>
      </c>
      <c r="Z194" s="21">
        <f t="shared" ref="Z194:Z257" si="54">IF(OR(V194="-",Y194="-",U194="no data",U194="",U194="-"),"-",SQRT(V194^2+Y194^2))</f>
        <v>0.16423115305974223</v>
      </c>
      <c r="AA194" s="21">
        <f t="shared" ref="AA194:AA257" si="55">IF(V194="-","-",V194*1.96)</f>
        <v>0.13661199999999998</v>
      </c>
      <c r="AB194" s="21">
        <f t="shared" ref="AB194:AB257" si="56">IF(Z194="-","-",Z194*1.96)</f>
        <v>0.32189305999709478</v>
      </c>
    </row>
    <row r="195" spans="1:28" ht="16" customHeight="1" x14ac:dyDescent="0.2">
      <c r="A195" t="s">
        <v>28</v>
      </c>
      <c r="B195" t="s">
        <v>29</v>
      </c>
      <c r="C195" t="s">
        <v>428</v>
      </c>
      <c r="D195" t="s">
        <v>429</v>
      </c>
      <c r="E195" t="s">
        <v>32</v>
      </c>
      <c r="F195" t="s">
        <v>38</v>
      </c>
      <c r="G195" t="s">
        <v>34</v>
      </c>
      <c r="H195" s="16" t="s">
        <v>67</v>
      </c>
      <c r="I195" s="16" t="s">
        <v>67</v>
      </c>
      <c r="J195" s="18" t="s">
        <v>67</v>
      </c>
      <c r="K195" s="18" t="s">
        <v>67</v>
      </c>
      <c r="L195" s="11" t="s">
        <v>35</v>
      </c>
      <c r="M195" s="11" t="s">
        <v>35</v>
      </c>
      <c r="N195" s="14">
        <v>65</v>
      </c>
      <c r="O195" s="11">
        <v>249.29</v>
      </c>
      <c r="P195" s="13">
        <v>11.061999999999999</v>
      </c>
      <c r="Q195" s="11">
        <f t="shared" si="46"/>
        <v>138.27500000000001</v>
      </c>
      <c r="R195" s="20">
        <f t="shared" si="47"/>
        <v>55.467527778892055</v>
      </c>
      <c r="S195" s="20">
        <f t="shared" si="48"/>
        <v>0.55467527778892056</v>
      </c>
      <c r="T195" s="15" t="str">
        <f t="shared" si="49"/>
        <v>no data</v>
      </c>
      <c r="U195" s="15" t="str">
        <f t="shared" si="50"/>
        <v>no data</v>
      </c>
      <c r="V195" s="22" t="s">
        <v>68</v>
      </c>
      <c r="W195" s="20">
        <f t="shared" si="51"/>
        <v>4.7607412764418733</v>
      </c>
      <c r="X195" s="20">
        <f t="shared" si="52"/>
        <v>31.74</v>
      </c>
      <c r="Y195" s="21">
        <f t="shared" si="53"/>
        <v>0.13938703267012642</v>
      </c>
      <c r="Z195" s="21" t="str">
        <f t="shared" si="54"/>
        <v>-</v>
      </c>
      <c r="AA195" s="21" t="str">
        <f t="shared" si="55"/>
        <v>-</v>
      </c>
      <c r="AB195" s="21" t="str">
        <f t="shared" si="56"/>
        <v>-</v>
      </c>
    </row>
    <row r="196" spans="1:28" ht="16" customHeight="1" x14ac:dyDescent="0.2">
      <c r="A196" t="s">
        <v>28</v>
      </c>
      <c r="B196" t="s">
        <v>29</v>
      </c>
      <c r="C196" t="s">
        <v>430</v>
      </c>
      <c r="D196" t="s">
        <v>431</v>
      </c>
      <c r="E196" t="s">
        <v>32</v>
      </c>
      <c r="F196" t="s">
        <v>38</v>
      </c>
      <c r="G196" t="s">
        <v>34</v>
      </c>
      <c r="H196" s="15">
        <v>16100</v>
      </c>
      <c r="I196" s="15">
        <f t="shared" ref="I196:I202" si="57">IF(H196=0, 0, -LOG10(H196*10^-6))</f>
        <v>1.7931741239681502</v>
      </c>
      <c r="J196" s="17">
        <v>1.1299999999999999</v>
      </c>
      <c r="K196" s="17">
        <v>581000</v>
      </c>
      <c r="L196" s="11" t="s">
        <v>35</v>
      </c>
      <c r="M196" s="11" t="s">
        <v>35</v>
      </c>
      <c r="N196" s="14">
        <v>65</v>
      </c>
      <c r="O196" s="11">
        <v>250.18</v>
      </c>
      <c r="P196" s="13">
        <v>12.393000000000001</v>
      </c>
      <c r="Q196" s="11">
        <f t="shared" si="46"/>
        <v>154.91250000000002</v>
      </c>
      <c r="R196" s="20">
        <f t="shared" si="47"/>
        <v>61.92041729954434</v>
      </c>
      <c r="S196" s="20">
        <f t="shared" si="48"/>
        <v>0.61920417299544339</v>
      </c>
      <c r="T196" s="15">
        <f t="shared" si="49"/>
        <v>9969.1871852266395</v>
      </c>
      <c r="U196" s="15">
        <f t="shared" si="50"/>
        <v>2.0013402494477277</v>
      </c>
      <c r="V196" s="21">
        <v>0.55600000000000005</v>
      </c>
      <c r="W196" s="20">
        <f t="shared" si="51"/>
        <v>4.3418042443314775</v>
      </c>
      <c r="X196" s="20">
        <f t="shared" si="52"/>
        <v>31.74</v>
      </c>
      <c r="Y196" s="21">
        <f t="shared" si="53"/>
        <v>0.13912878859686656</v>
      </c>
      <c r="Z196" s="21">
        <f t="shared" si="54"/>
        <v>0.57314293140230876</v>
      </c>
      <c r="AA196" s="21">
        <f t="shared" si="55"/>
        <v>1.0897600000000001</v>
      </c>
      <c r="AB196" s="21">
        <f t="shared" si="56"/>
        <v>1.1233601455485251</v>
      </c>
    </row>
    <row r="197" spans="1:28" ht="16" customHeight="1" x14ac:dyDescent="0.2">
      <c r="A197" t="s">
        <v>28</v>
      </c>
      <c r="B197" t="s">
        <v>29</v>
      </c>
      <c r="C197" t="s">
        <v>432</v>
      </c>
      <c r="D197" t="s">
        <v>433</v>
      </c>
      <c r="E197" t="s">
        <v>32</v>
      </c>
      <c r="F197" t="s">
        <v>33</v>
      </c>
      <c r="G197" t="s">
        <v>34</v>
      </c>
      <c r="H197" s="15">
        <v>23.8</v>
      </c>
      <c r="I197" s="15">
        <f t="shared" si="57"/>
        <v>4.6234230429434877</v>
      </c>
      <c r="J197" s="17">
        <v>0.54500000000000004</v>
      </c>
      <c r="K197" s="17">
        <v>331000</v>
      </c>
      <c r="L197" s="11" t="s">
        <v>35</v>
      </c>
      <c r="M197" s="11" t="s">
        <v>35</v>
      </c>
      <c r="N197" s="14">
        <v>65</v>
      </c>
      <c r="O197" s="11">
        <v>249.65</v>
      </c>
      <c r="P197" s="13">
        <v>10.464</v>
      </c>
      <c r="Q197" s="11">
        <f t="shared" si="46"/>
        <v>130.80000000000001</v>
      </c>
      <c r="R197" s="20">
        <f t="shared" si="47"/>
        <v>52.393350690967353</v>
      </c>
      <c r="S197" s="20">
        <f t="shared" si="48"/>
        <v>0.52393350690967355</v>
      </c>
      <c r="T197" s="15">
        <f t="shared" si="49"/>
        <v>12.469617464450231</v>
      </c>
      <c r="U197" s="15">
        <f t="shared" si="50"/>
        <v>4.9041468693463681</v>
      </c>
      <c r="V197" s="21">
        <v>0.14099999999999999</v>
      </c>
      <c r="W197" s="20">
        <f t="shared" si="51"/>
        <v>4.9836620795107036</v>
      </c>
      <c r="X197" s="20">
        <f t="shared" si="52"/>
        <v>31.74</v>
      </c>
      <c r="Y197" s="21">
        <f t="shared" si="53"/>
        <v>0.13953392304175091</v>
      </c>
      <c r="Z197" s="21">
        <f t="shared" si="54"/>
        <v>0.19837014815596943</v>
      </c>
      <c r="AA197" s="21">
        <f t="shared" si="55"/>
        <v>0.27635999999999999</v>
      </c>
      <c r="AB197" s="21">
        <f t="shared" si="56"/>
        <v>0.38880549038570006</v>
      </c>
    </row>
    <row r="198" spans="1:28" ht="16" customHeight="1" x14ac:dyDescent="0.2">
      <c r="A198" t="s">
        <v>28</v>
      </c>
      <c r="B198" t="s">
        <v>29</v>
      </c>
      <c r="C198" t="s">
        <v>434</v>
      </c>
      <c r="D198" t="s">
        <v>435</v>
      </c>
      <c r="E198" t="s">
        <v>32</v>
      </c>
      <c r="F198" t="s">
        <v>33</v>
      </c>
      <c r="G198" t="s">
        <v>34</v>
      </c>
      <c r="H198" s="15">
        <v>319</v>
      </c>
      <c r="I198" s="15">
        <f t="shared" si="57"/>
        <v>3.496209316942819</v>
      </c>
      <c r="J198" s="17">
        <v>1.07</v>
      </c>
      <c r="K198" s="17">
        <v>554000</v>
      </c>
      <c r="L198" s="11" t="s">
        <v>35</v>
      </c>
      <c r="M198" s="11" t="s">
        <v>35</v>
      </c>
      <c r="N198" s="14">
        <v>65</v>
      </c>
      <c r="O198" s="11">
        <v>250.65</v>
      </c>
      <c r="P198" s="13">
        <v>11.297000000000001</v>
      </c>
      <c r="Q198" s="11">
        <f t="shared" si="46"/>
        <v>141.21250000000001</v>
      </c>
      <c r="R198" s="20">
        <f t="shared" si="47"/>
        <v>56.338519848394178</v>
      </c>
      <c r="S198" s="20">
        <f t="shared" si="48"/>
        <v>0.56338519848394175</v>
      </c>
      <c r="T198" s="15">
        <f t="shared" si="49"/>
        <v>179.71987831637742</v>
      </c>
      <c r="U198" s="15">
        <f t="shared" si="50"/>
        <v>3.7454038841283319</v>
      </c>
      <c r="V198" s="21">
        <v>0.29299999999999998</v>
      </c>
      <c r="W198" s="20">
        <f t="shared" si="51"/>
        <v>4.6795981233955919</v>
      </c>
      <c r="X198" s="20">
        <f t="shared" si="52"/>
        <v>31.74</v>
      </c>
      <c r="Y198" s="21">
        <f t="shared" si="53"/>
        <v>0.13933519607057823</v>
      </c>
      <c r="Z198" s="21">
        <f t="shared" si="54"/>
        <v>0.32444305642751314</v>
      </c>
      <c r="AA198" s="21">
        <f t="shared" si="55"/>
        <v>0.5742799999999999</v>
      </c>
      <c r="AB198" s="21">
        <f t="shared" si="56"/>
        <v>0.6359083905979257</v>
      </c>
    </row>
    <row r="199" spans="1:28" ht="16" customHeight="1" x14ac:dyDescent="0.2">
      <c r="A199" t="s">
        <v>28</v>
      </c>
      <c r="B199" t="s">
        <v>29</v>
      </c>
      <c r="C199" t="s">
        <v>436</v>
      </c>
      <c r="D199" t="s">
        <v>437</v>
      </c>
      <c r="E199" t="s">
        <v>32</v>
      </c>
      <c r="F199" t="s">
        <v>33</v>
      </c>
      <c r="G199" t="s">
        <v>34</v>
      </c>
      <c r="H199" s="15">
        <v>148</v>
      </c>
      <c r="I199" s="15">
        <f t="shared" si="57"/>
        <v>3.8297382846050425</v>
      </c>
      <c r="J199" s="17">
        <v>0.94399999999999995</v>
      </c>
      <c r="K199" s="17">
        <v>496000</v>
      </c>
      <c r="L199" s="11" t="s">
        <v>35</v>
      </c>
      <c r="M199" s="11" t="s">
        <v>35</v>
      </c>
      <c r="N199" s="14">
        <v>65</v>
      </c>
      <c r="O199" s="11">
        <v>250.59</v>
      </c>
      <c r="P199" s="13">
        <v>12.276</v>
      </c>
      <c r="Q199" s="11">
        <f t="shared" si="46"/>
        <v>153.44999999999999</v>
      </c>
      <c r="R199" s="20">
        <f t="shared" si="47"/>
        <v>61.235484257153118</v>
      </c>
      <c r="S199" s="20">
        <f t="shared" si="48"/>
        <v>0.61235484257153117</v>
      </c>
      <c r="T199" s="15">
        <f t="shared" si="49"/>
        <v>90.628516700586616</v>
      </c>
      <c r="U199" s="15">
        <f t="shared" si="50"/>
        <v>4.0427351279627217</v>
      </c>
      <c r="V199" s="21">
        <v>0.29299999999999998</v>
      </c>
      <c r="W199" s="20">
        <f t="shared" si="51"/>
        <v>4.3749885956337566</v>
      </c>
      <c r="X199" s="20">
        <f t="shared" si="52"/>
        <v>31.74</v>
      </c>
      <c r="Y199" s="21">
        <f t="shared" si="53"/>
        <v>0.13914839423947806</v>
      </c>
      <c r="Z199" s="21">
        <f t="shared" si="54"/>
        <v>0.32436287645078188</v>
      </c>
      <c r="AA199" s="21">
        <f t="shared" si="55"/>
        <v>0.5742799999999999</v>
      </c>
      <c r="AB199" s="21">
        <f t="shared" si="56"/>
        <v>0.63575123784353249</v>
      </c>
    </row>
    <row r="200" spans="1:28" ht="16" customHeight="1" x14ac:dyDescent="0.2">
      <c r="A200" t="s">
        <v>28</v>
      </c>
      <c r="B200" t="s">
        <v>29</v>
      </c>
      <c r="C200" t="s">
        <v>438</v>
      </c>
      <c r="D200" t="s">
        <v>439</v>
      </c>
      <c r="E200" t="s">
        <v>32</v>
      </c>
      <c r="F200" t="s">
        <v>38</v>
      </c>
      <c r="G200" t="s">
        <v>34</v>
      </c>
      <c r="H200" s="15">
        <v>18000</v>
      </c>
      <c r="I200" s="15">
        <f t="shared" si="57"/>
        <v>1.744727494896694</v>
      </c>
      <c r="J200" s="17">
        <v>1.1299999999999999</v>
      </c>
      <c r="K200" s="17">
        <v>517000</v>
      </c>
      <c r="L200" s="11" t="s">
        <v>35</v>
      </c>
      <c r="M200" s="11" t="s">
        <v>35</v>
      </c>
      <c r="N200" s="14">
        <v>65</v>
      </c>
      <c r="O200" s="11">
        <v>249.61</v>
      </c>
      <c r="P200" s="13">
        <v>13.997999999999999</v>
      </c>
      <c r="Q200" s="11">
        <f t="shared" si="46"/>
        <v>174.97499999999999</v>
      </c>
      <c r="R200" s="20">
        <f t="shared" si="47"/>
        <v>70.099354993790314</v>
      </c>
      <c r="S200" s="20">
        <f t="shared" si="48"/>
        <v>0.70099354993790319</v>
      </c>
      <c r="T200" s="15">
        <f t="shared" si="49"/>
        <v>12617.883898882257</v>
      </c>
      <c r="U200" s="15">
        <f t="shared" si="50"/>
        <v>1.8990134729917529</v>
      </c>
      <c r="V200" s="21">
        <v>0.55400000000000005</v>
      </c>
      <c r="W200" s="20">
        <f t="shared" si="51"/>
        <v>3.9425832261751679</v>
      </c>
      <c r="X200" s="20">
        <f t="shared" si="52"/>
        <v>31.74</v>
      </c>
      <c r="Y200" s="21">
        <f t="shared" si="53"/>
        <v>0.13890442843799619</v>
      </c>
      <c r="Z200" s="21">
        <f t="shared" si="54"/>
        <v>0.57114835221655547</v>
      </c>
      <c r="AA200" s="21">
        <f t="shared" si="55"/>
        <v>1.0858400000000001</v>
      </c>
      <c r="AB200" s="21">
        <f t="shared" si="56"/>
        <v>1.1194507703444487</v>
      </c>
    </row>
    <row r="201" spans="1:28" ht="16" customHeight="1" x14ac:dyDescent="0.2">
      <c r="A201" t="s">
        <v>28</v>
      </c>
      <c r="B201" t="s">
        <v>29</v>
      </c>
      <c r="C201" t="s">
        <v>440</v>
      </c>
      <c r="D201" t="s">
        <v>441</v>
      </c>
      <c r="E201" t="s">
        <v>32</v>
      </c>
      <c r="F201" t="s">
        <v>33</v>
      </c>
      <c r="G201" t="s">
        <v>34</v>
      </c>
      <c r="H201" s="15">
        <v>5.16</v>
      </c>
      <c r="I201" s="15">
        <f t="shared" si="57"/>
        <v>5.2873502983727887</v>
      </c>
      <c r="J201" s="17">
        <v>0.59299999999999997</v>
      </c>
      <c r="K201" s="17">
        <v>351000</v>
      </c>
      <c r="L201" s="11" t="s">
        <v>35</v>
      </c>
      <c r="M201" s="11" t="s">
        <v>35</v>
      </c>
      <c r="N201" s="14">
        <v>65</v>
      </c>
      <c r="O201" s="11">
        <v>250.03</v>
      </c>
      <c r="P201" s="13">
        <v>5.569</v>
      </c>
      <c r="Q201" s="11">
        <f t="shared" si="46"/>
        <v>69.612499999999997</v>
      </c>
      <c r="R201" s="20">
        <f t="shared" si="47"/>
        <v>27.84165900091989</v>
      </c>
      <c r="S201" s="20">
        <f t="shared" si="48"/>
        <v>0.27841659000919888</v>
      </c>
      <c r="T201" s="15">
        <f t="shared" si="49"/>
        <v>1.4366296044474662</v>
      </c>
      <c r="U201" s="15">
        <f t="shared" si="50"/>
        <v>5.8426551883581688</v>
      </c>
      <c r="V201" s="21">
        <v>0.182</v>
      </c>
      <c r="W201" s="20">
        <f t="shared" si="51"/>
        <v>8.6082492368468309</v>
      </c>
      <c r="X201" s="20">
        <f t="shared" si="52"/>
        <v>31.74</v>
      </c>
      <c r="Y201" s="21">
        <f t="shared" si="53"/>
        <v>0.14282476141144768</v>
      </c>
      <c r="Z201" s="21">
        <f t="shared" si="54"/>
        <v>0.23135019445039798</v>
      </c>
      <c r="AA201" s="21">
        <f t="shared" si="55"/>
        <v>0.35671999999999998</v>
      </c>
      <c r="AB201" s="21">
        <f t="shared" si="56"/>
        <v>0.45344638112278002</v>
      </c>
    </row>
    <row r="202" spans="1:28" ht="16" customHeight="1" x14ac:dyDescent="0.2">
      <c r="A202" t="s">
        <v>28</v>
      </c>
      <c r="B202" t="s">
        <v>29</v>
      </c>
      <c r="C202" t="s">
        <v>442</v>
      </c>
      <c r="D202" t="s">
        <v>443</v>
      </c>
      <c r="E202" t="s">
        <v>32</v>
      </c>
      <c r="F202" t="s">
        <v>33</v>
      </c>
      <c r="G202" t="s">
        <v>34</v>
      </c>
      <c r="H202" s="15">
        <v>13.6</v>
      </c>
      <c r="I202" s="15">
        <f t="shared" si="57"/>
        <v>4.8664610916297821</v>
      </c>
      <c r="J202" s="17">
        <v>0.59699999999999998</v>
      </c>
      <c r="K202" s="17">
        <v>352000</v>
      </c>
      <c r="L202" s="11" t="s">
        <v>35</v>
      </c>
      <c r="M202" s="11" t="s">
        <v>35</v>
      </c>
      <c r="N202" s="14">
        <v>65</v>
      </c>
      <c r="O202" s="11">
        <v>249.08</v>
      </c>
      <c r="P202" s="13">
        <v>9.2870000000000008</v>
      </c>
      <c r="Q202" s="11">
        <f t="shared" si="46"/>
        <v>116.08750000000001</v>
      </c>
      <c r="R202" s="20">
        <f t="shared" si="47"/>
        <v>46.606511964027618</v>
      </c>
      <c r="S202" s="20">
        <f t="shared" si="48"/>
        <v>0.46606511964027619</v>
      </c>
      <c r="T202" s="15">
        <f t="shared" si="49"/>
        <v>6.3384856271077563</v>
      </c>
      <c r="U202" s="15">
        <f t="shared" si="50"/>
        <v>5.1980144901230556</v>
      </c>
      <c r="V202" s="21">
        <v>0.128</v>
      </c>
      <c r="W202" s="20">
        <f t="shared" si="51"/>
        <v>5.5062797458813391</v>
      </c>
      <c r="X202" s="20">
        <f t="shared" si="52"/>
        <v>31.74</v>
      </c>
      <c r="Y202" s="21">
        <f t="shared" si="53"/>
        <v>0.13990395608905506</v>
      </c>
      <c r="Z202" s="21">
        <f t="shared" si="54"/>
        <v>0.18962361912316789</v>
      </c>
      <c r="AA202" s="21">
        <f t="shared" si="55"/>
        <v>0.25087999999999999</v>
      </c>
      <c r="AB202" s="21">
        <f t="shared" si="56"/>
        <v>0.37166229348140906</v>
      </c>
    </row>
    <row r="203" spans="1:28" ht="16" customHeight="1" x14ac:dyDescent="0.2">
      <c r="A203" t="s">
        <v>28</v>
      </c>
      <c r="B203" t="s">
        <v>29</v>
      </c>
      <c r="C203" t="s">
        <v>444</v>
      </c>
      <c r="D203" t="s">
        <v>445</v>
      </c>
      <c r="E203" t="s">
        <v>32</v>
      </c>
      <c r="F203" t="s">
        <v>38</v>
      </c>
      <c r="G203" t="s">
        <v>34</v>
      </c>
      <c r="H203" s="16" t="s">
        <v>67</v>
      </c>
      <c r="I203" s="16" t="s">
        <v>67</v>
      </c>
      <c r="J203" s="18" t="s">
        <v>67</v>
      </c>
      <c r="K203" s="18" t="s">
        <v>67</v>
      </c>
      <c r="L203" s="11" t="s">
        <v>35</v>
      </c>
      <c r="M203" s="11" t="s">
        <v>35</v>
      </c>
      <c r="N203" s="14">
        <v>65</v>
      </c>
      <c r="O203" s="11">
        <v>249.53</v>
      </c>
      <c r="P203" s="13">
        <v>10.000999999999999</v>
      </c>
      <c r="Q203" s="11">
        <f t="shared" si="46"/>
        <v>125.01249999999999</v>
      </c>
      <c r="R203" s="20">
        <f t="shared" si="47"/>
        <v>50.099186470564661</v>
      </c>
      <c r="S203" s="20">
        <f t="shared" si="48"/>
        <v>0.50099186470564661</v>
      </c>
      <c r="T203" s="15" t="str">
        <f t="shared" si="49"/>
        <v>no data</v>
      </c>
      <c r="U203" s="15" t="str">
        <f t="shared" si="50"/>
        <v>no data</v>
      </c>
      <c r="V203" s="22" t="s">
        <v>68</v>
      </c>
      <c r="W203" s="20">
        <f t="shared" si="51"/>
        <v>5.1745685431456856</v>
      </c>
      <c r="X203" s="20">
        <f t="shared" si="52"/>
        <v>31.74</v>
      </c>
      <c r="Y203" s="21">
        <f t="shared" si="53"/>
        <v>0.13966492979821449</v>
      </c>
      <c r="Z203" s="21" t="str">
        <f t="shared" si="54"/>
        <v>-</v>
      </c>
      <c r="AA203" s="21" t="str">
        <f t="shared" si="55"/>
        <v>-</v>
      </c>
      <c r="AB203" s="21" t="str">
        <f t="shared" si="56"/>
        <v>-</v>
      </c>
    </row>
    <row r="204" spans="1:28" ht="16" customHeight="1" x14ac:dyDescent="0.2">
      <c r="A204" t="s">
        <v>28</v>
      </c>
      <c r="B204" t="s">
        <v>29</v>
      </c>
      <c r="C204" t="s">
        <v>446</v>
      </c>
      <c r="D204" t="s">
        <v>447</v>
      </c>
      <c r="E204" t="s">
        <v>32</v>
      </c>
      <c r="F204" t="s">
        <v>33</v>
      </c>
      <c r="G204" t="s">
        <v>34</v>
      </c>
      <c r="H204" s="15">
        <v>35.299999999999997</v>
      </c>
      <c r="I204" s="15">
        <f>IF(H204=0, 0, -LOG10(H204*10^-6))</f>
        <v>4.4522252946121776</v>
      </c>
      <c r="J204" s="17">
        <v>0.77100000000000002</v>
      </c>
      <c r="K204" s="17">
        <v>425000</v>
      </c>
      <c r="L204" s="11" t="s">
        <v>35</v>
      </c>
      <c r="M204" s="11" t="s">
        <v>35</v>
      </c>
      <c r="N204" s="14">
        <v>65</v>
      </c>
      <c r="O204" s="11">
        <v>249.99</v>
      </c>
      <c r="P204" s="13">
        <v>2.5640000000000001</v>
      </c>
      <c r="Q204" s="11">
        <f t="shared" si="46"/>
        <v>32.049999999999997</v>
      </c>
      <c r="R204" s="20">
        <f t="shared" si="47"/>
        <v>12.820512820512819</v>
      </c>
      <c r="S204" s="20">
        <f t="shared" si="48"/>
        <v>0.12820512820512819</v>
      </c>
      <c r="T204" s="15">
        <f t="shared" si="49"/>
        <v>4.5256410256410247</v>
      </c>
      <c r="U204" s="15">
        <f t="shared" si="50"/>
        <v>5.3443198973026576</v>
      </c>
      <c r="V204" s="21">
        <v>0.26300000000000001</v>
      </c>
      <c r="W204" s="20">
        <f t="shared" si="51"/>
        <v>17.689173166926675</v>
      </c>
      <c r="X204" s="20">
        <f t="shared" si="52"/>
        <v>31.74</v>
      </c>
      <c r="Y204" s="21">
        <f t="shared" si="53"/>
        <v>0.15780700894881439</v>
      </c>
      <c r="Z204" s="21">
        <f t="shared" si="54"/>
        <v>0.30671167580216308</v>
      </c>
      <c r="AA204" s="21">
        <f t="shared" si="55"/>
        <v>0.51548000000000005</v>
      </c>
      <c r="AB204" s="21">
        <f t="shared" si="56"/>
        <v>0.60115488457223965</v>
      </c>
    </row>
    <row r="205" spans="1:28" ht="16" customHeight="1" x14ac:dyDescent="0.2">
      <c r="A205" t="s">
        <v>28</v>
      </c>
      <c r="B205" t="s">
        <v>29</v>
      </c>
      <c r="C205" t="s">
        <v>448</v>
      </c>
      <c r="D205" t="s">
        <v>449</v>
      </c>
      <c r="E205" t="s">
        <v>32</v>
      </c>
      <c r="F205" t="s">
        <v>33</v>
      </c>
      <c r="G205" t="s">
        <v>34</v>
      </c>
      <c r="H205" s="15">
        <v>2.34</v>
      </c>
      <c r="I205" s="15">
        <f>IF(H205=0, 0, -LOG10(H205*10^-6))</f>
        <v>5.6307841425898575</v>
      </c>
      <c r="J205" s="17">
        <v>0.55300000000000005</v>
      </c>
      <c r="K205" s="17">
        <v>334000</v>
      </c>
      <c r="L205" s="11" t="s">
        <v>35</v>
      </c>
      <c r="M205" s="11" t="s">
        <v>35</v>
      </c>
      <c r="N205" s="14">
        <v>65</v>
      </c>
      <c r="O205" s="11">
        <v>250.65</v>
      </c>
      <c r="P205" s="13">
        <v>11.154999999999999</v>
      </c>
      <c r="Q205" s="11">
        <f t="shared" si="46"/>
        <v>139.4375</v>
      </c>
      <c r="R205" s="20">
        <f t="shared" si="47"/>
        <v>55.630361061240777</v>
      </c>
      <c r="S205" s="20">
        <f t="shared" si="48"/>
        <v>0.55630361061240774</v>
      </c>
      <c r="T205" s="15">
        <f t="shared" si="49"/>
        <v>1.301750448833034</v>
      </c>
      <c r="U205" s="15">
        <f t="shared" si="50"/>
        <v>5.8854722639110166</v>
      </c>
      <c r="V205" s="21">
        <v>7.4700000000000003E-2</v>
      </c>
      <c r="W205" s="20">
        <f t="shared" si="51"/>
        <v>4.7282205289108026</v>
      </c>
      <c r="X205" s="20">
        <f t="shared" si="52"/>
        <v>31.74</v>
      </c>
      <c r="Y205" s="21">
        <f t="shared" si="53"/>
        <v>0.13936615278995287</v>
      </c>
      <c r="Z205" s="21">
        <f t="shared" si="54"/>
        <v>0.15812341554454384</v>
      </c>
      <c r="AA205" s="21">
        <f t="shared" si="55"/>
        <v>0.14641200000000001</v>
      </c>
      <c r="AB205" s="21">
        <f t="shared" si="56"/>
        <v>0.30992189446730595</v>
      </c>
    </row>
    <row r="206" spans="1:28" ht="16" customHeight="1" x14ac:dyDescent="0.2">
      <c r="A206" t="s">
        <v>28</v>
      </c>
      <c r="B206" t="s">
        <v>29</v>
      </c>
      <c r="C206" t="s">
        <v>450</v>
      </c>
      <c r="D206" t="s">
        <v>451</v>
      </c>
      <c r="E206" t="s">
        <v>32</v>
      </c>
      <c r="F206" t="s">
        <v>33</v>
      </c>
      <c r="G206" t="s">
        <v>34</v>
      </c>
      <c r="H206" s="15">
        <v>357</v>
      </c>
      <c r="I206" s="15">
        <f>IF(H206=0, 0, -LOG10(H206*10^-6))</f>
        <v>3.4473317838878068</v>
      </c>
      <c r="J206" s="17">
        <v>1.1100000000000001</v>
      </c>
      <c r="K206" s="17">
        <v>572000</v>
      </c>
      <c r="L206" s="11" t="s">
        <v>35</v>
      </c>
      <c r="M206" s="11" t="s">
        <v>35</v>
      </c>
      <c r="N206" s="14">
        <v>65</v>
      </c>
      <c r="O206" s="11">
        <v>250.68</v>
      </c>
      <c r="P206" s="13">
        <v>7.6020000000000003</v>
      </c>
      <c r="Q206" s="11">
        <f t="shared" si="46"/>
        <v>95.025000000000006</v>
      </c>
      <c r="R206" s="20">
        <f t="shared" si="47"/>
        <v>37.906893250359026</v>
      </c>
      <c r="S206" s="20">
        <f t="shared" si="48"/>
        <v>0.37906893250359025</v>
      </c>
      <c r="T206" s="15">
        <f t="shared" si="49"/>
        <v>135.32760890378171</v>
      </c>
      <c r="U206" s="15">
        <f t="shared" si="50"/>
        <v>3.868613591640599</v>
      </c>
      <c r="V206" s="21">
        <v>0.27800000000000002</v>
      </c>
      <c r="W206" s="20">
        <f t="shared" si="51"/>
        <v>6.5361378584583001</v>
      </c>
      <c r="X206" s="20">
        <f t="shared" si="52"/>
        <v>31.74</v>
      </c>
      <c r="Y206" s="21">
        <f t="shared" si="53"/>
        <v>0.14073746056543651</v>
      </c>
      <c r="Z206" s="21">
        <f t="shared" si="54"/>
        <v>0.31159434013859721</v>
      </c>
      <c r="AA206" s="21">
        <f t="shared" si="55"/>
        <v>0.54488000000000003</v>
      </c>
      <c r="AB206" s="21">
        <f t="shared" si="56"/>
        <v>0.61072490667165058</v>
      </c>
    </row>
    <row r="207" spans="1:28" ht="16" customHeight="1" x14ac:dyDescent="0.2">
      <c r="A207" t="s">
        <v>28</v>
      </c>
      <c r="B207" t="s">
        <v>29</v>
      </c>
      <c r="C207" t="s">
        <v>452</v>
      </c>
      <c r="D207" t="s">
        <v>453</v>
      </c>
      <c r="E207" t="s">
        <v>32</v>
      </c>
      <c r="F207" t="s">
        <v>33</v>
      </c>
      <c r="G207" t="s">
        <v>34</v>
      </c>
      <c r="H207" s="15">
        <v>4.01</v>
      </c>
      <c r="I207" s="15">
        <f>IF(H207=0, 0, -LOG10(H207*10^-6))</f>
        <v>5.3968556273798178</v>
      </c>
      <c r="J207" s="17">
        <v>0.66</v>
      </c>
      <c r="K207" s="17">
        <v>338000</v>
      </c>
      <c r="L207" s="11" t="s">
        <v>35</v>
      </c>
      <c r="M207" s="11" t="s">
        <v>35</v>
      </c>
      <c r="N207" s="14">
        <v>65</v>
      </c>
      <c r="O207" s="11">
        <v>251.11</v>
      </c>
      <c r="P207" s="13">
        <v>17.693999999999999</v>
      </c>
      <c r="Q207" s="11">
        <f t="shared" si="46"/>
        <v>221.17499999999998</v>
      </c>
      <c r="R207" s="20">
        <f t="shared" si="47"/>
        <v>88.078929552785624</v>
      </c>
      <c r="S207" s="20">
        <f t="shared" si="48"/>
        <v>0.88078929552785623</v>
      </c>
      <c r="T207" s="15">
        <f t="shared" si="49"/>
        <v>3.5319650750667031</v>
      </c>
      <c r="U207" s="15">
        <f t="shared" si="50"/>
        <v>5.4519835994831451</v>
      </c>
      <c r="V207" s="21">
        <v>5.5100000000000003E-2</v>
      </c>
      <c r="W207" s="20">
        <f t="shared" si="51"/>
        <v>3.2986797784559738</v>
      </c>
      <c r="X207" s="20">
        <f t="shared" si="52"/>
        <v>31.74</v>
      </c>
      <c r="Y207" s="21">
        <f t="shared" si="53"/>
        <v>0.13858750575021203</v>
      </c>
      <c r="Z207" s="21">
        <f t="shared" si="54"/>
        <v>0.14913921935582555</v>
      </c>
      <c r="AA207" s="21">
        <f t="shared" si="55"/>
        <v>0.10799600000000001</v>
      </c>
      <c r="AB207" s="21">
        <f t="shared" si="56"/>
        <v>0.29231286993741806</v>
      </c>
    </row>
    <row r="208" spans="1:28" ht="16" customHeight="1" x14ac:dyDescent="0.2">
      <c r="A208" t="s">
        <v>28</v>
      </c>
      <c r="B208" t="s">
        <v>29</v>
      </c>
      <c r="C208" t="s">
        <v>454</v>
      </c>
      <c r="D208" t="s">
        <v>455</v>
      </c>
      <c r="E208" t="s">
        <v>32</v>
      </c>
      <c r="F208" t="s">
        <v>33</v>
      </c>
      <c r="G208" t="s">
        <v>34</v>
      </c>
      <c r="H208" s="16" t="s">
        <v>67</v>
      </c>
      <c r="I208" s="16" t="s">
        <v>67</v>
      </c>
      <c r="J208" s="18" t="s">
        <v>67</v>
      </c>
      <c r="K208" s="18" t="s">
        <v>67</v>
      </c>
      <c r="L208" s="11" t="s">
        <v>247</v>
      </c>
      <c r="M208" s="11" t="s">
        <v>247</v>
      </c>
      <c r="N208" s="14">
        <v>20</v>
      </c>
      <c r="O208" s="11">
        <v>498.6</v>
      </c>
      <c r="P208" s="13">
        <v>1.58</v>
      </c>
      <c r="Q208" s="11">
        <f t="shared" si="46"/>
        <v>19.75</v>
      </c>
      <c r="R208" s="20">
        <f t="shared" si="47"/>
        <v>3.9610910549538705</v>
      </c>
      <c r="S208" s="20">
        <f t="shared" si="48"/>
        <v>3.9610910549538705E-2</v>
      </c>
      <c r="T208" s="15" t="str">
        <f t="shared" si="49"/>
        <v>no data</v>
      </c>
      <c r="U208" s="15" t="str">
        <f t="shared" si="50"/>
        <v>no data</v>
      </c>
      <c r="V208" s="22" t="s">
        <v>68</v>
      </c>
      <c r="W208" s="20">
        <f t="shared" si="51"/>
        <v>28.170126582278478</v>
      </c>
      <c r="X208" s="20">
        <f t="shared" si="52"/>
        <v>31.74</v>
      </c>
      <c r="Y208" s="21">
        <f t="shared" si="53"/>
        <v>0.18430588136514586</v>
      </c>
      <c r="Z208" s="21" t="str">
        <f t="shared" si="54"/>
        <v>-</v>
      </c>
      <c r="AA208" s="21" t="str">
        <f t="shared" si="55"/>
        <v>-</v>
      </c>
      <c r="AB208" s="21" t="str">
        <f t="shared" si="56"/>
        <v>-</v>
      </c>
    </row>
    <row r="209" spans="1:28" ht="16" customHeight="1" x14ac:dyDescent="0.2">
      <c r="A209" t="s">
        <v>28</v>
      </c>
      <c r="B209" t="s">
        <v>29</v>
      </c>
      <c r="C209" t="s">
        <v>456</v>
      </c>
      <c r="D209" t="s">
        <v>457</v>
      </c>
      <c r="E209" t="s">
        <v>32</v>
      </c>
      <c r="F209" t="s">
        <v>33</v>
      </c>
      <c r="G209" t="s">
        <v>34</v>
      </c>
      <c r="H209" s="15">
        <v>187</v>
      </c>
      <c r="I209" s="15">
        <f>IF(H209=0, 0, -LOG10(H209*10^-6))</f>
        <v>3.728158393463501</v>
      </c>
      <c r="J209" s="17">
        <v>1.1299999999999999</v>
      </c>
      <c r="K209" s="17">
        <v>573000</v>
      </c>
      <c r="L209" s="11" t="s">
        <v>35</v>
      </c>
      <c r="M209" s="11" t="s">
        <v>35</v>
      </c>
      <c r="N209" s="14">
        <v>65</v>
      </c>
      <c r="O209" s="11">
        <v>250.94</v>
      </c>
      <c r="P209" s="13">
        <v>13.153</v>
      </c>
      <c r="Q209" s="11">
        <f t="shared" si="46"/>
        <v>164.41249999999999</v>
      </c>
      <c r="R209" s="20">
        <f t="shared" si="47"/>
        <v>65.518649876464494</v>
      </c>
      <c r="S209" s="20">
        <f t="shared" si="48"/>
        <v>0.65518649876464496</v>
      </c>
      <c r="T209" s="15">
        <f t="shared" si="49"/>
        <v>122.51987526898861</v>
      </c>
      <c r="U209" s="15">
        <f t="shared" si="50"/>
        <v>3.9117934539975048</v>
      </c>
      <c r="V209" s="21">
        <v>0.26100000000000001</v>
      </c>
      <c r="W209" s="20">
        <f t="shared" si="51"/>
        <v>4.1406203907853723</v>
      </c>
      <c r="X209" s="20">
        <f t="shared" si="52"/>
        <v>31.74</v>
      </c>
      <c r="Y209" s="21">
        <f t="shared" si="53"/>
        <v>0.13901306673630737</v>
      </c>
      <c r="Z209" s="21">
        <f t="shared" si="54"/>
        <v>0.29571207740542665</v>
      </c>
      <c r="AA209" s="21">
        <f t="shared" si="55"/>
        <v>0.51156000000000001</v>
      </c>
      <c r="AB209" s="21">
        <f t="shared" si="56"/>
        <v>0.57959567171463622</v>
      </c>
    </row>
    <row r="210" spans="1:28" ht="16" customHeight="1" x14ac:dyDescent="0.2">
      <c r="A210" t="s">
        <v>28</v>
      </c>
      <c r="B210" t="s">
        <v>29</v>
      </c>
      <c r="C210" t="s">
        <v>458</v>
      </c>
      <c r="D210" t="s">
        <v>459</v>
      </c>
      <c r="E210" t="s">
        <v>32</v>
      </c>
      <c r="F210" t="s">
        <v>33</v>
      </c>
      <c r="G210" t="s">
        <v>34</v>
      </c>
      <c r="H210" s="15">
        <v>35.4</v>
      </c>
      <c r="I210" s="15">
        <f>IF(H210=0, 0, -LOG10(H210*10^-6))</f>
        <v>4.4509967379742124</v>
      </c>
      <c r="J210" s="17">
        <v>0.82099999999999995</v>
      </c>
      <c r="K210" s="17">
        <v>445000</v>
      </c>
      <c r="L210" s="11" t="s">
        <v>35</v>
      </c>
      <c r="M210" s="11" t="s">
        <v>35</v>
      </c>
      <c r="N210" s="14">
        <v>65</v>
      </c>
      <c r="O210" s="11">
        <v>248.95</v>
      </c>
      <c r="P210" s="13">
        <v>14.234</v>
      </c>
      <c r="Q210" s="11">
        <f t="shared" si="46"/>
        <v>177.92500000000001</v>
      </c>
      <c r="R210" s="20">
        <f t="shared" si="47"/>
        <v>71.470174733882317</v>
      </c>
      <c r="S210" s="20">
        <f t="shared" si="48"/>
        <v>0.71470174733882319</v>
      </c>
      <c r="T210" s="15">
        <f t="shared" si="49"/>
        <v>25.30044185579434</v>
      </c>
      <c r="U210" s="15">
        <f t="shared" si="50"/>
        <v>4.5968718940867275</v>
      </c>
      <c r="V210" s="21">
        <v>0.191</v>
      </c>
      <c r="W210" s="20">
        <f t="shared" si="51"/>
        <v>3.891473935647042</v>
      </c>
      <c r="X210" s="20">
        <f t="shared" si="52"/>
        <v>31.74</v>
      </c>
      <c r="Y210" s="21">
        <f t="shared" si="53"/>
        <v>0.13887724204279897</v>
      </c>
      <c r="Z210" s="21">
        <f t="shared" si="54"/>
        <v>0.2361522567273372</v>
      </c>
      <c r="AA210" s="21">
        <f t="shared" si="55"/>
        <v>0.37436000000000003</v>
      </c>
      <c r="AB210" s="21">
        <f t="shared" si="56"/>
        <v>0.4628584231855809</v>
      </c>
    </row>
    <row r="211" spans="1:28" ht="16" customHeight="1" x14ac:dyDescent="0.2">
      <c r="A211" t="s">
        <v>28</v>
      </c>
      <c r="B211" t="s">
        <v>29</v>
      </c>
      <c r="C211" t="s">
        <v>460</v>
      </c>
      <c r="D211" t="s">
        <v>461</v>
      </c>
      <c r="E211" t="s">
        <v>32</v>
      </c>
      <c r="F211" t="s">
        <v>38</v>
      </c>
      <c r="G211" t="s">
        <v>34</v>
      </c>
      <c r="H211" s="15">
        <v>18900</v>
      </c>
      <c r="I211" s="15">
        <f>IF(H211=0, 0, -LOG10(H211*10^-6))</f>
        <v>1.7235381958267559</v>
      </c>
      <c r="J211" s="17">
        <v>1.26</v>
      </c>
      <c r="K211" s="17">
        <v>627000</v>
      </c>
      <c r="L211" s="11" t="s">
        <v>35</v>
      </c>
      <c r="M211" s="11" t="s">
        <v>35</v>
      </c>
      <c r="N211" s="14">
        <v>65</v>
      </c>
      <c r="O211" s="11">
        <v>249.52</v>
      </c>
      <c r="P211" s="13">
        <v>15.12</v>
      </c>
      <c r="Q211" s="11">
        <f t="shared" si="46"/>
        <v>189</v>
      </c>
      <c r="R211" s="20">
        <f t="shared" si="47"/>
        <v>75.745431227957667</v>
      </c>
      <c r="S211" s="20">
        <f t="shared" si="48"/>
        <v>0.75745431227957671</v>
      </c>
      <c r="T211" s="15">
        <f t="shared" si="49"/>
        <v>14315.886502084</v>
      </c>
      <c r="U211" s="15">
        <f t="shared" si="50"/>
        <v>1.844181753402599</v>
      </c>
      <c r="V211" s="21">
        <v>0.51300000000000001</v>
      </c>
      <c r="W211" s="20">
        <f t="shared" si="51"/>
        <v>3.7138359788359789</v>
      </c>
      <c r="X211" s="20">
        <f t="shared" si="52"/>
        <v>31.74</v>
      </c>
      <c r="Y211" s="21">
        <f t="shared" si="53"/>
        <v>0.13878547140615699</v>
      </c>
      <c r="Z211" s="21">
        <f t="shared" si="54"/>
        <v>0.53144181908599286</v>
      </c>
      <c r="AA211" s="21">
        <f t="shared" si="55"/>
        <v>1.0054799999999999</v>
      </c>
      <c r="AB211" s="21">
        <f t="shared" si="56"/>
        <v>1.041625965408546</v>
      </c>
    </row>
    <row r="212" spans="1:28" ht="16" customHeight="1" x14ac:dyDescent="0.2">
      <c r="A212" t="s">
        <v>28</v>
      </c>
      <c r="B212" t="s">
        <v>29</v>
      </c>
      <c r="C212" t="s">
        <v>462</v>
      </c>
      <c r="D212" t="s">
        <v>463</v>
      </c>
      <c r="E212" t="s">
        <v>32</v>
      </c>
      <c r="F212" t="s">
        <v>33</v>
      </c>
      <c r="G212" t="s">
        <v>34</v>
      </c>
      <c r="H212" s="15">
        <v>10.3</v>
      </c>
      <c r="I212" s="15">
        <f>IF(H212=0, 0, -LOG10(H212*10^-6))</f>
        <v>4.987162775294828</v>
      </c>
      <c r="J212" s="17">
        <v>0.81899999999999995</v>
      </c>
      <c r="K212" s="17">
        <v>448000</v>
      </c>
      <c r="L212" s="11" t="s">
        <v>35</v>
      </c>
      <c r="M212" s="11" t="s">
        <v>35</v>
      </c>
      <c r="N212" s="14">
        <v>65</v>
      </c>
      <c r="O212" s="11">
        <v>249.31</v>
      </c>
      <c r="P212" s="13">
        <v>18.263999999999999</v>
      </c>
      <c r="Q212" s="11">
        <f t="shared" si="46"/>
        <v>228.29999999999998</v>
      </c>
      <c r="R212" s="20">
        <f t="shared" si="47"/>
        <v>91.572740764510044</v>
      </c>
      <c r="S212" s="20">
        <f t="shared" si="48"/>
        <v>0.91572740764510041</v>
      </c>
      <c r="T212" s="15">
        <f t="shared" si="49"/>
        <v>9.4319922987445342</v>
      </c>
      <c r="U212" s="15">
        <f t="shared" si="50"/>
        <v>5.0253965625158212</v>
      </c>
      <c r="V212" s="21">
        <v>0.20100000000000001</v>
      </c>
      <c r="W212" s="20">
        <f t="shared" si="51"/>
        <v>3.2225711782742006</v>
      </c>
      <c r="X212" s="20">
        <f t="shared" si="52"/>
        <v>31.74</v>
      </c>
      <c r="Y212" s="21">
        <f t="shared" si="53"/>
        <v>0.1385537278907403</v>
      </c>
      <c r="Z212" s="21">
        <f t="shared" si="54"/>
        <v>0.2441272936654591</v>
      </c>
      <c r="AA212" s="21">
        <f t="shared" si="55"/>
        <v>0.39396000000000003</v>
      </c>
      <c r="AB212" s="21">
        <f t="shared" si="56"/>
        <v>0.47848949558429982</v>
      </c>
    </row>
    <row r="213" spans="1:28" ht="16" customHeight="1" x14ac:dyDescent="0.2">
      <c r="A213" t="s">
        <v>28</v>
      </c>
      <c r="B213" t="s">
        <v>29</v>
      </c>
      <c r="C213" t="s">
        <v>464</v>
      </c>
      <c r="D213" t="s">
        <v>465</v>
      </c>
      <c r="E213" t="s">
        <v>32</v>
      </c>
      <c r="F213" t="s">
        <v>38</v>
      </c>
      <c r="G213" t="s">
        <v>34</v>
      </c>
      <c r="H213" s="16" t="s">
        <v>67</v>
      </c>
      <c r="I213" s="16" t="s">
        <v>67</v>
      </c>
      <c r="J213" s="18" t="s">
        <v>67</v>
      </c>
      <c r="K213" s="18" t="s">
        <v>67</v>
      </c>
      <c r="L213" s="11" t="s">
        <v>35</v>
      </c>
      <c r="M213" s="11" t="s">
        <v>35</v>
      </c>
      <c r="N213" s="14">
        <v>65</v>
      </c>
      <c r="O213" s="11">
        <v>250.6</v>
      </c>
      <c r="P213" s="13">
        <v>14.154999999999999</v>
      </c>
      <c r="Q213" s="11">
        <f t="shared" si="46"/>
        <v>176.9375</v>
      </c>
      <c r="R213" s="20">
        <f t="shared" si="47"/>
        <v>70.60554668794893</v>
      </c>
      <c r="S213" s="20">
        <f t="shared" si="48"/>
        <v>0.70605546687948928</v>
      </c>
      <c r="T213" s="15" t="str">
        <f t="shared" si="49"/>
        <v>no data</v>
      </c>
      <c r="U213" s="15" t="str">
        <f t="shared" si="50"/>
        <v>no data</v>
      </c>
      <c r="V213" s="22" t="s">
        <v>68</v>
      </c>
      <c r="W213" s="20">
        <f t="shared" si="51"/>
        <v>3.9083927940657013</v>
      </c>
      <c r="X213" s="20">
        <f t="shared" si="52"/>
        <v>31.74</v>
      </c>
      <c r="Y213" s="21">
        <f t="shared" si="53"/>
        <v>0.13888620294569462</v>
      </c>
      <c r="Z213" s="21" t="str">
        <f t="shared" si="54"/>
        <v>-</v>
      </c>
      <c r="AA213" s="21" t="str">
        <f t="shared" si="55"/>
        <v>-</v>
      </c>
      <c r="AB213" s="21" t="str">
        <f t="shared" si="56"/>
        <v>-</v>
      </c>
    </row>
    <row r="214" spans="1:28" ht="16" customHeight="1" x14ac:dyDescent="0.2">
      <c r="A214" t="s">
        <v>28</v>
      </c>
      <c r="B214" t="s">
        <v>29</v>
      </c>
      <c r="C214" t="s">
        <v>466</v>
      </c>
      <c r="D214" t="s">
        <v>467</v>
      </c>
      <c r="E214" t="s">
        <v>32</v>
      </c>
      <c r="F214" t="s">
        <v>33</v>
      </c>
      <c r="G214" t="s">
        <v>34</v>
      </c>
      <c r="H214" s="15">
        <v>94.9</v>
      </c>
      <c r="I214" s="15">
        <f t="shared" ref="I214:I245" si="58">IF(H214=0, 0, -LOG10(H214*10^-6))</f>
        <v>4.0227337875727072</v>
      </c>
      <c r="J214" s="17">
        <v>0.89100000000000001</v>
      </c>
      <c r="K214" s="17">
        <v>479000</v>
      </c>
      <c r="L214" s="11" t="s">
        <v>35</v>
      </c>
      <c r="M214" s="11" t="s">
        <v>35</v>
      </c>
      <c r="N214" s="14">
        <v>65</v>
      </c>
      <c r="O214" s="11">
        <v>250.25</v>
      </c>
      <c r="P214" s="13">
        <v>18.536000000000001</v>
      </c>
      <c r="Q214" s="11">
        <f t="shared" si="46"/>
        <v>231.70000000000002</v>
      </c>
      <c r="R214" s="20">
        <f t="shared" si="47"/>
        <v>92.587412587412601</v>
      </c>
      <c r="S214" s="20">
        <f t="shared" si="48"/>
        <v>0.92587412587412599</v>
      </c>
      <c r="T214" s="15">
        <f t="shared" si="49"/>
        <v>87.865454545454568</v>
      </c>
      <c r="U214" s="15">
        <f t="shared" si="50"/>
        <v>4.0561818399340881</v>
      </c>
      <c r="V214" s="21">
        <v>0.22500000000000001</v>
      </c>
      <c r="W214" s="20">
        <f t="shared" si="51"/>
        <v>3.1879024600776864</v>
      </c>
      <c r="X214" s="20">
        <f t="shared" si="52"/>
        <v>31.74</v>
      </c>
      <c r="Y214" s="21">
        <f t="shared" si="53"/>
        <v>0.13853860022135597</v>
      </c>
      <c r="Z214" s="21">
        <f t="shared" si="54"/>
        <v>0.26423085314037931</v>
      </c>
      <c r="AA214" s="21">
        <f t="shared" si="55"/>
        <v>0.441</v>
      </c>
      <c r="AB214" s="21">
        <f t="shared" si="56"/>
        <v>0.51789247215514345</v>
      </c>
    </row>
    <row r="215" spans="1:28" ht="16" customHeight="1" x14ac:dyDescent="0.2">
      <c r="A215" t="s">
        <v>28</v>
      </c>
      <c r="B215" t="s">
        <v>29</v>
      </c>
      <c r="C215" t="s">
        <v>468</v>
      </c>
      <c r="D215" t="s">
        <v>469</v>
      </c>
      <c r="E215" t="s">
        <v>32</v>
      </c>
      <c r="F215" t="s">
        <v>38</v>
      </c>
      <c r="G215" t="s">
        <v>34</v>
      </c>
      <c r="H215" s="15">
        <v>4020</v>
      </c>
      <c r="I215" s="15">
        <f t="shared" si="58"/>
        <v>2.3957739469155301</v>
      </c>
      <c r="J215" s="17">
        <v>1.22</v>
      </c>
      <c r="K215" s="17">
        <v>610000</v>
      </c>
      <c r="L215" s="11" t="s">
        <v>35</v>
      </c>
      <c r="M215" s="11" t="s">
        <v>35</v>
      </c>
      <c r="N215" s="14">
        <v>65</v>
      </c>
      <c r="O215" s="11">
        <v>249.73</v>
      </c>
      <c r="P215" s="13">
        <v>15.762</v>
      </c>
      <c r="Q215" s="11">
        <f t="shared" si="46"/>
        <v>197.02500000000001</v>
      </c>
      <c r="R215" s="20">
        <f t="shared" si="47"/>
        <v>78.89520682336925</v>
      </c>
      <c r="S215" s="20">
        <f t="shared" si="48"/>
        <v>0.78895206823369246</v>
      </c>
      <c r="T215" s="15">
        <f t="shared" si="49"/>
        <v>3171.5873142994437</v>
      </c>
      <c r="U215" s="15">
        <f t="shared" si="50"/>
        <v>2.4987233279062901</v>
      </c>
      <c r="V215" s="21">
        <v>0.39300000000000002</v>
      </c>
      <c r="W215" s="20">
        <f t="shared" si="51"/>
        <v>3.5975967516812584</v>
      </c>
      <c r="X215" s="20">
        <f t="shared" si="52"/>
        <v>31.74</v>
      </c>
      <c r="Y215" s="21">
        <f t="shared" si="53"/>
        <v>0.13872770967387846</v>
      </c>
      <c r="Z215" s="21">
        <f t="shared" si="54"/>
        <v>0.41676657427312941</v>
      </c>
      <c r="AA215" s="21">
        <f t="shared" si="55"/>
        <v>0.77027999999999996</v>
      </c>
      <c r="AB215" s="21">
        <f t="shared" si="56"/>
        <v>0.81686248557533359</v>
      </c>
    </row>
    <row r="216" spans="1:28" ht="16" customHeight="1" x14ac:dyDescent="0.2">
      <c r="A216" t="s">
        <v>28</v>
      </c>
      <c r="B216" t="s">
        <v>29</v>
      </c>
      <c r="C216" t="s">
        <v>470</v>
      </c>
      <c r="D216" t="s">
        <v>471</v>
      </c>
      <c r="E216" t="s">
        <v>32</v>
      </c>
      <c r="F216" t="s">
        <v>33</v>
      </c>
      <c r="G216" t="s">
        <v>34</v>
      </c>
      <c r="H216" s="15">
        <v>61</v>
      </c>
      <c r="I216" s="15">
        <f t="shared" si="58"/>
        <v>4.2146701649892329</v>
      </c>
      <c r="J216" s="17">
        <v>0.65300000000000002</v>
      </c>
      <c r="K216" s="17">
        <v>377000</v>
      </c>
      <c r="L216" s="11" t="s">
        <v>35</v>
      </c>
      <c r="M216" s="11" t="s">
        <v>35</v>
      </c>
      <c r="N216" s="14">
        <v>65</v>
      </c>
      <c r="O216" s="11">
        <v>249.66</v>
      </c>
      <c r="P216" s="13">
        <v>6.1</v>
      </c>
      <c r="Q216" s="11">
        <f t="shared" si="46"/>
        <v>76.25</v>
      </c>
      <c r="R216" s="20">
        <f t="shared" si="47"/>
        <v>30.541536489625891</v>
      </c>
      <c r="S216" s="20">
        <f t="shared" si="48"/>
        <v>0.30541536489625892</v>
      </c>
      <c r="T216" s="15">
        <f t="shared" si="49"/>
        <v>18.630337258671794</v>
      </c>
      <c r="U216" s="15">
        <f t="shared" si="50"/>
        <v>4.7297792831470007</v>
      </c>
      <c r="V216" s="21">
        <v>0.23799999999999999</v>
      </c>
      <c r="W216" s="20">
        <f t="shared" si="51"/>
        <v>7.933770491803279</v>
      </c>
      <c r="X216" s="20">
        <f t="shared" si="52"/>
        <v>31.74</v>
      </c>
      <c r="Y216" s="21">
        <f t="shared" si="53"/>
        <v>0.14208614943710834</v>
      </c>
      <c r="Z216" s="21">
        <f t="shared" si="54"/>
        <v>0.27718671299660863</v>
      </c>
      <c r="AA216" s="21">
        <f t="shared" si="55"/>
        <v>0.46647999999999995</v>
      </c>
      <c r="AB216" s="21">
        <f t="shared" si="56"/>
        <v>0.54328595747335295</v>
      </c>
    </row>
    <row r="217" spans="1:28" ht="16" customHeight="1" x14ac:dyDescent="0.2">
      <c r="A217" t="s">
        <v>28</v>
      </c>
      <c r="B217" t="s">
        <v>29</v>
      </c>
      <c r="C217" t="s">
        <v>472</v>
      </c>
      <c r="D217" t="s">
        <v>473</v>
      </c>
      <c r="E217" t="s">
        <v>32</v>
      </c>
      <c r="F217" t="s">
        <v>33</v>
      </c>
      <c r="G217" t="s">
        <v>34</v>
      </c>
      <c r="H217" s="15">
        <v>41.4</v>
      </c>
      <c r="I217" s="15">
        <f t="shared" si="58"/>
        <v>4.3829996588791014</v>
      </c>
      <c r="J217" s="17">
        <v>0.56699999999999995</v>
      </c>
      <c r="K217" s="17">
        <v>340000</v>
      </c>
      <c r="L217" s="11" t="s">
        <v>35</v>
      </c>
      <c r="M217" s="11" t="s">
        <v>35</v>
      </c>
      <c r="N217" s="14">
        <v>65</v>
      </c>
      <c r="O217" s="11">
        <v>249.55</v>
      </c>
      <c r="P217" s="13">
        <v>12.157999999999999</v>
      </c>
      <c r="Q217" s="11">
        <f t="shared" si="46"/>
        <v>151.97499999999999</v>
      </c>
      <c r="R217" s="20">
        <f t="shared" si="47"/>
        <v>60.899619314766575</v>
      </c>
      <c r="S217" s="20">
        <f t="shared" si="48"/>
        <v>0.60899619314766573</v>
      </c>
      <c r="T217" s="15">
        <f t="shared" si="49"/>
        <v>25.21244239631336</v>
      </c>
      <c r="U217" s="15">
        <f t="shared" si="50"/>
        <v>4.5983850810247633</v>
      </c>
      <c r="V217" s="21">
        <v>0.115</v>
      </c>
      <c r="W217" s="20">
        <f t="shared" si="51"/>
        <v>4.4091034709656194</v>
      </c>
      <c r="X217" s="20">
        <f t="shared" si="52"/>
        <v>31.74</v>
      </c>
      <c r="Y217" s="21">
        <f t="shared" si="53"/>
        <v>0.13916870234470111</v>
      </c>
      <c r="Z217" s="21">
        <f t="shared" si="54"/>
        <v>0.18053511490097435</v>
      </c>
      <c r="AA217" s="21">
        <f t="shared" si="55"/>
        <v>0.22540000000000002</v>
      </c>
      <c r="AB217" s="21">
        <f t="shared" si="56"/>
        <v>0.35384882520590971</v>
      </c>
    </row>
    <row r="218" spans="1:28" ht="16" customHeight="1" x14ac:dyDescent="0.2">
      <c r="A218" t="s">
        <v>28</v>
      </c>
      <c r="B218" t="s">
        <v>29</v>
      </c>
      <c r="C218" t="s">
        <v>474</v>
      </c>
      <c r="D218" t="s">
        <v>475</v>
      </c>
      <c r="E218" t="s">
        <v>32</v>
      </c>
      <c r="F218" t="s">
        <v>38</v>
      </c>
      <c r="G218" t="s">
        <v>34</v>
      </c>
      <c r="H218" s="15">
        <v>13900</v>
      </c>
      <c r="I218" s="15">
        <f t="shared" si="58"/>
        <v>1.856985199745905</v>
      </c>
      <c r="J218" s="17">
        <v>1.1499999999999999</v>
      </c>
      <c r="K218" s="17">
        <v>590000</v>
      </c>
      <c r="L218" s="11" t="s">
        <v>35</v>
      </c>
      <c r="M218" s="11" t="s">
        <v>35</v>
      </c>
      <c r="N218" s="14">
        <v>65</v>
      </c>
      <c r="O218" s="11">
        <v>249.4</v>
      </c>
      <c r="P218" s="13">
        <v>3.871</v>
      </c>
      <c r="Q218" s="11">
        <f t="shared" si="46"/>
        <v>48.387500000000003</v>
      </c>
      <c r="R218" s="20">
        <f t="shared" si="47"/>
        <v>19.401563753007217</v>
      </c>
      <c r="S218" s="20">
        <f t="shared" si="48"/>
        <v>0.19401563753007217</v>
      </c>
      <c r="T218" s="15">
        <f t="shared" si="49"/>
        <v>2696.8173616680033</v>
      </c>
      <c r="U218" s="15">
        <f t="shared" si="50"/>
        <v>2.5691484645614171</v>
      </c>
      <c r="V218" s="21">
        <v>0.59699999999999998</v>
      </c>
      <c r="W218" s="20">
        <f t="shared" si="51"/>
        <v>12.006990441746318</v>
      </c>
      <c r="X218" s="20">
        <f t="shared" si="52"/>
        <v>31.74</v>
      </c>
      <c r="Y218" s="21">
        <f t="shared" si="53"/>
        <v>0.14737854875683101</v>
      </c>
      <c r="Z218" s="21">
        <f t="shared" si="54"/>
        <v>0.6149223012980336</v>
      </c>
      <c r="AA218" s="21">
        <f t="shared" si="55"/>
        <v>1.1701199999999998</v>
      </c>
      <c r="AB218" s="21">
        <f t="shared" si="56"/>
        <v>1.2052477105441459</v>
      </c>
    </row>
    <row r="219" spans="1:28" ht="16" customHeight="1" x14ac:dyDescent="0.2">
      <c r="A219" t="s">
        <v>28</v>
      </c>
      <c r="B219" t="s">
        <v>29</v>
      </c>
      <c r="C219" t="s">
        <v>476</v>
      </c>
      <c r="D219" t="s">
        <v>477</v>
      </c>
      <c r="E219" t="s">
        <v>32</v>
      </c>
      <c r="F219" t="s">
        <v>33</v>
      </c>
      <c r="G219" t="s">
        <v>34</v>
      </c>
      <c r="H219" s="15">
        <v>18.8</v>
      </c>
      <c r="I219" s="15">
        <f t="shared" si="58"/>
        <v>4.7258421507363204</v>
      </c>
      <c r="J219" s="17">
        <v>0.55200000000000005</v>
      </c>
      <c r="K219" s="17">
        <v>334000</v>
      </c>
      <c r="L219" s="11" t="s">
        <v>35</v>
      </c>
      <c r="M219" s="11" t="s">
        <v>35</v>
      </c>
      <c r="N219" s="14">
        <v>65</v>
      </c>
      <c r="O219" s="11">
        <v>250.88</v>
      </c>
      <c r="P219" s="13">
        <v>19.524000000000001</v>
      </c>
      <c r="Q219" s="11">
        <f t="shared" si="46"/>
        <v>244.05</v>
      </c>
      <c r="R219" s="20">
        <f t="shared" si="47"/>
        <v>97.277582908163268</v>
      </c>
      <c r="S219" s="20">
        <f t="shared" si="48"/>
        <v>0.97277582908163263</v>
      </c>
      <c r="T219" s="15">
        <f t="shared" si="49"/>
        <v>18.288185586734695</v>
      </c>
      <c r="U219" s="15">
        <f t="shared" si="50"/>
        <v>4.7378293797481241</v>
      </c>
      <c r="V219" s="21">
        <v>0.126</v>
      </c>
      <c r="W219" s="20">
        <f t="shared" si="51"/>
        <v>3.0701003892644945</v>
      </c>
      <c r="X219" s="20">
        <f t="shared" si="52"/>
        <v>31.74</v>
      </c>
      <c r="Y219" s="21">
        <f t="shared" si="53"/>
        <v>0.13848840814154181</v>
      </c>
      <c r="Z219" s="21">
        <f t="shared" si="54"/>
        <v>0.18722990997588571</v>
      </c>
      <c r="AA219" s="21">
        <f t="shared" si="55"/>
        <v>0.24695999999999999</v>
      </c>
      <c r="AB219" s="21">
        <f t="shared" si="56"/>
        <v>0.36697062355273596</v>
      </c>
    </row>
    <row r="220" spans="1:28" ht="16" customHeight="1" x14ac:dyDescent="0.2">
      <c r="A220" t="s">
        <v>28</v>
      </c>
      <c r="B220" t="s">
        <v>29</v>
      </c>
      <c r="C220" t="s">
        <v>478</v>
      </c>
      <c r="D220" t="s">
        <v>479</v>
      </c>
      <c r="E220" t="s">
        <v>32</v>
      </c>
      <c r="F220" t="s">
        <v>33</v>
      </c>
      <c r="G220" t="s">
        <v>34</v>
      </c>
      <c r="H220" s="15">
        <v>2.57</v>
      </c>
      <c r="I220" s="15">
        <f t="shared" si="58"/>
        <v>5.5900668766687058</v>
      </c>
      <c r="J220" s="17">
        <v>0.50700000000000001</v>
      </c>
      <c r="K220" s="17">
        <v>314000</v>
      </c>
      <c r="L220" s="11" t="s">
        <v>35</v>
      </c>
      <c r="M220" s="11" t="s">
        <v>35</v>
      </c>
      <c r="N220" s="14">
        <v>65</v>
      </c>
      <c r="O220" s="11">
        <v>249.72</v>
      </c>
      <c r="P220" s="13">
        <v>18.545999999999999</v>
      </c>
      <c r="Q220" s="11">
        <f t="shared" si="46"/>
        <v>231.82499999999999</v>
      </c>
      <c r="R220" s="20">
        <f t="shared" si="47"/>
        <v>92.833974050937044</v>
      </c>
      <c r="S220" s="20">
        <f t="shared" si="48"/>
        <v>0.9283397405093704</v>
      </c>
      <c r="T220" s="15">
        <f t="shared" si="49"/>
        <v>2.3858331331090818</v>
      </c>
      <c r="U220" s="15">
        <f t="shared" si="50"/>
        <v>5.6223599344729527</v>
      </c>
      <c r="V220" s="21">
        <v>4.6100000000000002E-2</v>
      </c>
      <c r="W220" s="20">
        <f t="shared" si="51"/>
        <v>3.1866472554728782</v>
      </c>
      <c r="X220" s="20">
        <f t="shared" si="52"/>
        <v>31.74</v>
      </c>
      <c r="Y220" s="21">
        <f t="shared" si="53"/>
        <v>0.13853805555227591</v>
      </c>
      <c r="Z220" s="21">
        <f t="shared" si="54"/>
        <v>0.14600685886699119</v>
      </c>
      <c r="AA220" s="21">
        <f t="shared" si="55"/>
        <v>9.0356000000000006E-2</v>
      </c>
      <c r="AB220" s="21">
        <f t="shared" si="56"/>
        <v>0.28617344337930273</v>
      </c>
    </row>
    <row r="221" spans="1:28" ht="16" customHeight="1" x14ac:dyDescent="0.2">
      <c r="A221" t="s">
        <v>28</v>
      </c>
      <c r="B221" t="s">
        <v>29</v>
      </c>
      <c r="C221" t="s">
        <v>480</v>
      </c>
      <c r="D221" t="s">
        <v>481</v>
      </c>
      <c r="E221" t="s">
        <v>32</v>
      </c>
      <c r="F221" t="s">
        <v>33</v>
      </c>
      <c r="G221" t="s">
        <v>34</v>
      </c>
      <c r="H221" s="15">
        <v>58</v>
      </c>
      <c r="I221" s="15">
        <f t="shared" si="58"/>
        <v>4.2365720064370631</v>
      </c>
      <c r="J221" s="17">
        <v>0.83399999999999996</v>
      </c>
      <c r="K221" s="17">
        <v>405000</v>
      </c>
      <c r="L221" s="11" t="s">
        <v>35</v>
      </c>
      <c r="M221" s="11" t="s">
        <v>35</v>
      </c>
      <c r="N221" s="14">
        <v>65</v>
      </c>
      <c r="O221" s="11">
        <v>250.54</v>
      </c>
      <c r="P221" s="13">
        <v>4.6769999999999996</v>
      </c>
      <c r="Q221" s="11">
        <f t="shared" si="46"/>
        <v>58.462499999999991</v>
      </c>
      <c r="R221" s="20">
        <f t="shared" si="47"/>
        <v>23.334597269897021</v>
      </c>
      <c r="S221" s="20">
        <f t="shared" si="48"/>
        <v>0.2333459726989702</v>
      </c>
      <c r="T221" s="15">
        <f t="shared" si="49"/>
        <v>13.534066416540272</v>
      </c>
      <c r="U221" s="15">
        <f t="shared" si="50"/>
        <v>4.8685716966078196</v>
      </c>
      <c r="V221" s="21">
        <v>0.25900000000000001</v>
      </c>
      <c r="W221" s="20">
        <f t="shared" si="51"/>
        <v>10.085999572375455</v>
      </c>
      <c r="X221" s="20">
        <f t="shared" si="52"/>
        <v>31.74</v>
      </c>
      <c r="Y221" s="21">
        <f t="shared" si="53"/>
        <v>0.14463734110439716</v>
      </c>
      <c r="Z221" s="21">
        <f t="shared" si="54"/>
        <v>0.29664955830364848</v>
      </c>
      <c r="AA221" s="21">
        <f t="shared" si="55"/>
        <v>0.50763999999999998</v>
      </c>
      <c r="AB221" s="21">
        <f t="shared" si="56"/>
        <v>0.58143313427515098</v>
      </c>
    </row>
    <row r="222" spans="1:28" ht="16" customHeight="1" x14ac:dyDescent="0.2">
      <c r="A222" t="s">
        <v>28</v>
      </c>
      <c r="B222" t="s">
        <v>29</v>
      </c>
      <c r="C222" t="s">
        <v>482</v>
      </c>
      <c r="D222" t="s">
        <v>483</v>
      </c>
      <c r="E222" t="s">
        <v>32</v>
      </c>
      <c r="F222" t="s">
        <v>38</v>
      </c>
      <c r="G222" t="s">
        <v>34</v>
      </c>
      <c r="H222" s="15">
        <v>2220</v>
      </c>
      <c r="I222" s="15">
        <f t="shared" si="58"/>
        <v>2.6536470255493616</v>
      </c>
      <c r="J222" s="17">
        <v>1.22</v>
      </c>
      <c r="K222" s="17">
        <v>551000</v>
      </c>
      <c r="L222" s="11" t="s">
        <v>35</v>
      </c>
      <c r="M222" s="11" t="s">
        <v>35</v>
      </c>
      <c r="N222" s="14">
        <v>65</v>
      </c>
      <c r="O222" s="11">
        <v>250.24</v>
      </c>
      <c r="P222" s="13">
        <v>11.957000000000001</v>
      </c>
      <c r="Q222" s="11">
        <f t="shared" si="46"/>
        <v>149.46250000000001</v>
      </c>
      <c r="R222" s="20">
        <f t="shared" si="47"/>
        <v>59.727661445012792</v>
      </c>
      <c r="S222" s="20">
        <f t="shared" si="48"/>
        <v>0.59727661445012792</v>
      </c>
      <c r="T222" s="15">
        <f t="shared" si="49"/>
        <v>1325.954084079284</v>
      </c>
      <c r="U222" s="15">
        <f t="shared" si="50"/>
        <v>2.8774715146765395</v>
      </c>
      <c r="V222" s="21">
        <v>0.44700000000000001</v>
      </c>
      <c r="W222" s="20">
        <f t="shared" si="51"/>
        <v>4.4687647403194779</v>
      </c>
      <c r="X222" s="20">
        <f t="shared" si="52"/>
        <v>31.74</v>
      </c>
      <c r="Y222" s="21">
        <f t="shared" si="53"/>
        <v>0.13920458976492012</v>
      </c>
      <c r="Z222" s="21">
        <f t="shared" si="54"/>
        <v>0.4681740251355469</v>
      </c>
      <c r="AA222" s="21">
        <f t="shared" si="55"/>
        <v>0.87612000000000001</v>
      </c>
      <c r="AB222" s="21">
        <f t="shared" si="56"/>
        <v>0.91762108926567187</v>
      </c>
    </row>
    <row r="223" spans="1:28" ht="16" customHeight="1" x14ac:dyDescent="0.2">
      <c r="A223" t="s">
        <v>28</v>
      </c>
      <c r="B223" t="s">
        <v>29</v>
      </c>
      <c r="C223" t="s">
        <v>484</v>
      </c>
      <c r="D223" t="s">
        <v>485</v>
      </c>
      <c r="E223" t="s">
        <v>32</v>
      </c>
      <c r="F223" t="s">
        <v>33</v>
      </c>
      <c r="G223" t="s">
        <v>34</v>
      </c>
      <c r="H223" s="15">
        <v>37.700000000000003</v>
      </c>
      <c r="I223" s="15">
        <f t="shared" si="58"/>
        <v>4.4236586497942074</v>
      </c>
      <c r="J223" s="17">
        <v>0.61</v>
      </c>
      <c r="K223" s="17">
        <v>358000</v>
      </c>
      <c r="L223" s="11" t="s">
        <v>35</v>
      </c>
      <c r="M223" s="11" t="s">
        <v>35</v>
      </c>
      <c r="N223" s="14">
        <v>65</v>
      </c>
      <c r="O223" s="11">
        <v>250.13</v>
      </c>
      <c r="P223" s="13">
        <v>11.672000000000001</v>
      </c>
      <c r="Q223" s="11">
        <f t="shared" si="46"/>
        <v>145.9</v>
      </c>
      <c r="R223" s="20">
        <f t="shared" si="47"/>
        <v>58.329668572342385</v>
      </c>
      <c r="S223" s="20">
        <f t="shared" si="48"/>
        <v>0.58329668572342386</v>
      </c>
      <c r="T223" s="15">
        <f t="shared" si="49"/>
        <v>21.990285051773082</v>
      </c>
      <c r="U223" s="15">
        <f t="shared" si="50"/>
        <v>4.6577691410071163</v>
      </c>
      <c r="V223" s="21">
        <v>0.19900000000000001</v>
      </c>
      <c r="W223" s="20">
        <f t="shared" si="51"/>
        <v>4.5568814256339953</v>
      </c>
      <c r="X223" s="20">
        <f t="shared" si="52"/>
        <v>31.74</v>
      </c>
      <c r="Y223" s="21">
        <f t="shared" si="53"/>
        <v>0.13925845859023392</v>
      </c>
      <c r="Z223" s="21">
        <f t="shared" si="54"/>
        <v>0.24288663670306751</v>
      </c>
      <c r="AA223" s="21">
        <f t="shared" si="55"/>
        <v>0.39004</v>
      </c>
      <c r="AB223" s="21">
        <f t="shared" si="56"/>
        <v>0.47605780793801233</v>
      </c>
    </row>
    <row r="224" spans="1:28" ht="16" customHeight="1" x14ac:dyDescent="0.2">
      <c r="A224" t="s">
        <v>28</v>
      </c>
      <c r="B224" t="s">
        <v>29</v>
      </c>
      <c r="C224" t="s">
        <v>486</v>
      </c>
      <c r="D224" t="s">
        <v>487</v>
      </c>
      <c r="E224" t="s">
        <v>32</v>
      </c>
      <c r="F224" t="s">
        <v>33</v>
      </c>
      <c r="G224" t="s">
        <v>34</v>
      </c>
      <c r="H224" s="15">
        <v>60.2</v>
      </c>
      <c r="I224" s="15">
        <f t="shared" si="58"/>
        <v>4.2204035087421756</v>
      </c>
      <c r="J224" s="17">
        <v>1.0900000000000001</v>
      </c>
      <c r="K224" s="17">
        <v>561000</v>
      </c>
      <c r="L224" s="11" t="s">
        <v>35</v>
      </c>
      <c r="M224" s="11" t="s">
        <v>35</v>
      </c>
      <c r="N224" s="14">
        <v>65</v>
      </c>
      <c r="O224" s="11">
        <v>249.69</v>
      </c>
      <c r="P224" s="13">
        <v>1.6240000000000001</v>
      </c>
      <c r="Q224" s="11">
        <f t="shared" si="46"/>
        <v>20.3</v>
      </c>
      <c r="R224" s="20">
        <f t="shared" si="47"/>
        <v>8.1300813008130071</v>
      </c>
      <c r="S224" s="20">
        <f t="shared" si="48"/>
        <v>8.1300813008130066E-2</v>
      </c>
      <c r="T224" s="15">
        <f t="shared" si="49"/>
        <v>4.8943089430894302</v>
      </c>
      <c r="U224" s="15">
        <f t="shared" si="50"/>
        <v>5.3103086201815737</v>
      </c>
      <c r="V224" s="21">
        <v>0.159</v>
      </c>
      <c r="W224" s="20">
        <f t="shared" si="51"/>
        <v>27.430197044334971</v>
      </c>
      <c r="X224" s="20">
        <f t="shared" si="52"/>
        <v>31.74</v>
      </c>
      <c r="Y224" s="21">
        <f t="shared" si="53"/>
        <v>0.18218864760272113</v>
      </c>
      <c r="Z224" s="21">
        <f t="shared" si="54"/>
        <v>0.2418133646333645</v>
      </c>
      <c r="AA224" s="21">
        <f t="shared" si="55"/>
        <v>0.31163999999999997</v>
      </c>
      <c r="AB224" s="21">
        <f t="shared" si="56"/>
        <v>0.47395419468139444</v>
      </c>
    </row>
    <row r="225" spans="1:28" ht="16" customHeight="1" x14ac:dyDescent="0.2">
      <c r="A225" t="s">
        <v>28</v>
      </c>
      <c r="B225" t="s">
        <v>29</v>
      </c>
      <c r="C225" t="s">
        <v>488</v>
      </c>
      <c r="D225" t="s">
        <v>489</v>
      </c>
      <c r="E225" t="s">
        <v>32</v>
      </c>
      <c r="F225" t="s">
        <v>33</v>
      </c>
      <c r="G225" t="s">
        <v>34</v>
      </c>
      <c r="H225" s="15">
        <v>1160</v>
      </c>
      <c r="I225" s="15">
        <f t="shared" si="58"/>
        <v>2.9355420107730814</v>
      </c>
      <c r="J225" s="17">
        <v>1.33</v>
      </c>
      <c r="K225" s="17">
        <v>591000</v>
      </c>
      <c r="L225" s="11" t="s">
        <v>35</v>
      </c>
      <c r="M225" s="11" t="s">
        <v>81</v>
      </c>
      <c r="N225" s="14">
        <v>65</v>
      </c>
      <c r="O225" s="11">
        <v>249.9</v>
      </c>
      <c r="P225" s="23" t="s">
        <v>82</v>
      </c>
      <c r="Q225" s="11" t="str">
        <f t="shared" si="46"/>
        <v>-</v>
      </c>
      <c r="R225" s="24" t="str">
        <f t="shared" si="47"/>
        <v>-</v>
      </c>
      <c r="S225" s="20" t="str">
        <f t="shared" si="48"/>
        <v>-</v>
      </c>
      <c r="T225" s="15" t="str">
        <f t="shared" si="49"/>
        <v>-</v>
      </c>
      <c r="U225" s="15" t="str">
        <f t="shared" si="50"/>
        <v>-</v>
      </c>
      <c r="V225" s="21">
        <v>0.27600000000000002</v>
      </c>
      <c r="W225" s="20" t="str">
        <f t="shared" si="51"/>
        <v>-</v>
      </c>
      <c r="X225" s="20" t="str">
        <f t="shared" si="52"/>
        <v>-</v>
      </c>
      <c r="Y225" s="21" t="str">
        <f t="shared" si="53"/>
        <v>-</v>
      </c>
      <c r="Z225" s="21" t="str">
        <f t="shared" si="54"/>
        <v>-</v>
      </c>
      <c r="AA225" s="21">
        <f t="shared" si="55"/>
        <v>0.54096</v>
      </c>
      <c r="AB225" s="21" t="str">
        <f t="shared" si="56"/>
        <v>-</v>
      </c>
    </row>
    <row r="226" spans="1:28" ht="16" customHeight="1" x14ac:dyDescent="0.2">
      <c r="A226" t="s">
        <v>28</v>
      </c>
      <c r="B226" t="s">
        <v>29</v>
      </c>
      <c r="C226" t="s">
        <v>490</v>
      </c>
      <c r="D226" t="s">
        <v>491</v>
      </c>
      <c r="E226" t="s">
        <v>32</v>
      </c>
      <c r="F226" t="s">
        <v>33</v>
      </c>
      <c r="G226" t="s">
        <v>34</v>
      </c>
      <c r="H226" s="15">
        <v>6.31</v>
      </c>
      <c r="I226" s="15">
        <f t="shared" si="58"/>
        <v>5.1999706407558657</v>
      </c>
      <c r="J226" s="17">
        <v>0.505</v>
      </c>
      <c r="K226" s="17">
        <v>280000</v>
      </c>
      <c r="L226" s="11" t="s">
        <v>35</v>
      </c>
      <c r="M226" s="11" t="s">
        <v>35</v>
      </c>
      <c r="N226" s="14">
        <v>65</v>
      </c>
      <c r="O226" s="11">
        <v>250.54</v>
      </c>
      <c r="P226" s="13">
        <v>11.99</v>
      </c>
      <c r="Q226" s="11">
        <f t="shared" si="46"/>
        <v>149.875</v>
      </c>
      <c r="R226" s="20">
        <f t="shared" si="47"/>
        <v>59.82078709986429</v>
      </c>
      <c r="S226" s="20">
        <f t="shared" si="48"/>
        <v>0.59820787099864292</v>
      </c>
      <c r="T226" s="15">
        <f t="shared" si="49"/>
        <v>3.7746916660014365</v>
      </c>
      <c r="U226" s="15">
        <f t="shared" si="50"/>
        <v>5.4231185177362784</v>
      </c>
      <c r="V226" s="21">
        <v>0.106</v>
      </c>
      <c r="W226" s="20">
        <f t="shared" si="51"/>
        <v>4.4588323603002502</v>
      </c>
      <c r="X226" s="20">
        <f t="shared" si="52"/>
        <v>31.74</v>
      </c>
      <c r="Y226" s="21">
        <f t="shared" si="53"/>
        <v>0.13919858242297456</v>
      </c>
      <c r="Z226" s="21">
        <f t="shared" si="54"/>
        <v>0.17496355434365651</v>
      </c>
      <c r="AA226" s="21">
        <f t="shared" si="55"/>
        <v>0.20776</v>
      </c>
      <c r="AB226" s="21">
        <f t="shared" si="56"/>
        <v>0.34292856651356673</v>
      </c>
    </row>
    <row r="227" spans="1:28" ht="16" customHeight="1" x14ac:dyDescent="0.2">
      <c r="A227" t="s">
        <v>28</v>
      </c>
      <c r="B227" t="s">
        <v>29</v>
      </c>
      <c r="C227" t="s">
        <v>492</v>
      </c>
      <c r="D227" t="s">
        <v>493</v>
      </c>
      <c r="E227" t="s">
        <v>32</v>
      </c>
      <c r="F227" t="s">
        <v>33</v>
      </c>
      <c r="G227" t="s">
        <v>34</v>
      </c>
      <c r="H227" s="15">
        <v>284</v>
      </c>
      <c r="I227" s="15">
        <f t="shared" si="58"/>
        <v>3.5466816599529625</v>
      </c>
      <c r="J227" s="17">
        <v>1.17</v>
      </c>
      <c r="K227" s="17">
        <v>533000</v>
      </c>
      <c r="L227" s="11" t="s">
        <v>35</v>
      </c>
      <c r="M227" s="11" t="s">
        <v>35</v>
      </c>
      <c r="N227" s="14">
        <v>65</v>
      </c>
      <c r="O227" s="11">
        <v>249.44</v>
      </c>
      <c r="P227" s="13">
        <v>16.309999999999999</v>
      </c>
      <c r="Q227" s="11">
        <f t="shared" si="46"/>
        <v>203.87499999999997</v>
      </c>
      <c r="R227" s="20">
        <f t="shared" si="47"/>
        <v>81.733082103912764</v>
      </c>
      <c r="S227" s="20">
        <f t="shared" si="48"/>
        <v>0.81733082103912769</v>
      </c>
      <c r="T227" s="15">
        <f t="shared" si="49"/>
        <v>232.12195317511225</v>
      </c>
      <c r="U227" s="15">
        <f t="shared" si="50"/>
        <v>3.6342837837493964</v>
      </c>
      <c r="V227" s="21">
        <v>0.248</v>
      </c>
      <c r="W227" s="20">
        <f t="shared" si="51"/>
        <v>3.5056161863887185</v>
      </c>
      <c r="X227" s="20">
        <f t="shared" si="52"/>
        <v>31.74</v>
      </c>
      <c r="Y227" s="21">
        <f t="shared" si="53"/>
        <v>0.13868328790411388</v>
      </c>
      <c r="Z227" s="21">
        <f t="shared" si="54"/>
        <v>0.28414266547615713</v>
      </c>
      <c r="AA227" s="21">
        <f t="shared" si="55"/>
        <v>0.48608000000000001</v>
      </c>
      <c r="AB227" s="21">
        <f t="shared" si="56"/>
        <v>0.55691962433326792</v>
      </c>
    </row>
    <row r="228" spans="1:28" ht="16" customHeight="1" x14ac:dyDescent="0.2">
      <c r="A228" t="s">
        <v>28</v>
      </c>
      <c r="B228" t="s">
        <v>29</v>
      </c>
      <c r="C228" t="s">
        <v>494</v>
      </c>
      <c r="D228" t="s">
        <v>495</v>
      </c>
      <c r="E228" t="s">
        <v>32</v>
      </c>
      <c r="F228" t="s">
        <v>33</v>
      </c>
      <c r="G228" t="s">
        <v>34</v>
      </c>
      <c r="H228" s="15">
        <v>80.900000000000006</v>
      </c>
      <c r="I228" s="15">
        <f t="shared" si="58"/>
        <v>4.0920514783877273</v>
      </c>
      <c r="J228" s="17">
        <v>0.69099999999999995</v>
      </c>
      <c r="K228" s="17">
        <v>350000</v>
      </c>
      <c r="L228" s="11" t="s">
        <v>35</v>
      </c>
      <c r="M228" s="11" t="s">
        <v>35</v>
      </c>
      <c r="N228" s="14">
        <v>65</v>
      </c>
      <c r="O228" s="11">
        <v>250.8</v>
      </c>
      <c r="P228" s="13">
        <v>17.032</v>
      </c>
      <c r="Q228" s="11">
        <f t="shared" si="46"/>
        <v>212.9</v>
      </c>
      <c r="R228" s="20">
        <f t="shared" si="47"/>
        <v>84.888357256778306</v>
      </c>
      <c r="S228" s="20">
        <f t="shared" si="48"/>
        <v>0.84888357256778302</v>
      </c>
      <c r="T228" s="15">
        <f t="shared" si="49"/>
        <v>68.674681020733658</v>
      </c>
      <c r="U228" s="15">
        <f t="shared" si="50"/>
        <v>4.163203349108084</v>
      </c>
      <c r="V228" s="21">
        <v>0.26100000000000001</v>
      </c>
      <c r="W228" s="20">
        <f t="shared" si="51"/>
        <v>3.3934664161578203</v>
      </c>
      <c r="X228" s="20">
        <f t="shared" si="52"/>
        <v>31.74</v>
      </c>
      <c r="Y228" s="21">
        <f t="shared" si="53"/>
        <v>0.13863066356723153</v>
      </c>
      <c r="Z228" s="21">
        <f t="shared" si="54"/>
        <v>0.29553250393330838</v>
      </c>
      <c r="AA228" s="21">
        <f t="shared" si="55"/>
        <v>0.51156000000000001</v>
      </c>
      <c r="AB228" s="21">
        <f t="shared" si="56"/>
        <v>0.57924370770928446</v>
      </c>
    </row>
    <row r="229" spans="1:28" ht="16" customHeight="1" x14ac:dyDescent="0.2">
      <c r="A229" t="s">
        <v>28</v>
      </c>
      <c r="B229" t="s">
        <v>29</v>
      </c>
      <c r="C229" t="s">
        <v>496</v>
      </c>
      <c r="D229" t="s">
        <v>497</v>
      </c>
      <c r="E229" t="s">
        <v>32</v>
      </c>
      <c r="F229" t="s">
        <v>38</v>
      </c>
      <c r="G229" t="s">
        <v>34</v>
      </c>
      <c r="H229" s="15">
        <v>17700</v>
      </c>
      <c r="I229" s="15">
        <f t="shared" si="58"/>
        <v>1.7520267336381934</v>
      </c>
      <c r="J229" s="17">
        <v>1.1299999999999999</v>
      </c>
      <c r="K229" s="17">
        <v>582000</v>
      </c>
      <c r="L229" s="11" t="s">
        <v>35</v>
      </c>
      <c r="M229" s="11" t="s">
        <v>35</v>
      </c>
      <c r="N229" s="14">
        <v>65</v>
      </c>
      <c r="O229" s="11">
        <v>250.38</v>
      </c>
      <c r="P229" s="13">
        <v>11.898</v>
      </c>
      <c r="Q229" s="11">
        <f t="shared" si="46"/>
        <v>148.72499999999999</v>
      </c>
      <c r="R229" s="20">
        <f t="shared" si="47"/>
        <v>59.399712437095609</v>
      </c>
      <c r="S229" s="20">
        <f t="shared" si="48"/>
        <v>0.59399712437095609</v>
      </c>
      <c r="T229" s="15">
        <f t="shared" si="49"/>
        <v>10513.749101365922</v>
      </c>
      <c r="U229" s="15">
        <f t="shared" si="50"/>
        <v>1.9782423911365432</v>
      </c>
      <c r="V229" s="21">
        <v>0.53500000000000003</v>
      </c>
      <c r="W229" s="20">
        <f t="shared" si="51"/>
        <v>4.4866599428475373</v>
      </c>
      <c r="X229" s="20">
        <f t="shared" si="52"/>
        <v>31.74</v>
      </c>
      <c r="Y229" s="21">
        <f t="shared" si="53"/>
        <v>0.139215446292521</v>
      </c>
      <c r="Z229" s="21">
        <f t="shared" si="54"/>
        <v>0.55281637139870032</v>
      </c>
      <c r="AA229" s="21">
        <f t="shared" si="55"/>
        <v>1.0486</v>
      </c>
      <c r="AB229" s="21">
        <f t="shared" si="56"/>
        <v>1.0835200879414526</v>
      </c>
    </row>
    <row r="230" spans="1:28" ht="16" customHeight="1" x14ac:dyDescent="0.2">
      <c r="A230" t="s">
        <v>498</v>
      </c>
      <c r="B230" t="s">
        <v>499</v>
      </c>
      <c r="C230" t="s">
        <v>500</v>
      </c>
      <c r="D230" t="s">
        <v>501</v>
      </c>
      <c r="E230" t="s">
        <v>502</v>
      </c>
      <c r="F230" t="s">
        <v>38</v>
      </c>
      <c r="G230" t="s">
        <v>503</v>
      </c>
      <c r="H230" s="15">
        <v>1130</v>
      </c>
      <c r="I230" s="15">
        <f t="shared" si="58"/>
        <v>2.9469215565165805</v>
      </c>
      <c r="J230" s="17">
        <v>1.19</v>
      </c>
      <c r="K230" s="17">
        <v>417000</v>
      </c>
      <c r="L230" s="11" t="s">
        <v>35</v>
      </c>
      <c r="M230" s="11" t="s">
        <v>81</v>
      </c>
      <c r="N230" s="14">
        <v>65</v>
      </c>
      <c r="O230" s="11">
        <v>249.94</v>
      </c>
      <c r="P230" s="23" t="s">
        <v>82</v>
      </c>
      <c r="Q230" s="11" t="str">
        <f t="shared" si="46"/>
        <v>-</v>
      </c>
      <c r="R230" s="24" t="str">
        <f t="shared" si="47"/>
        <v>-</v>
      </c>
      <c r="S230" s="20" t="str">
        <f t="shared" si="48"/>
        <v>-</v>
      </c>
      <c r="T230" s="15" t="str">
        <f t="shared" si="49"/>
        <v>-</v>
      </c>
      <c r="U230" s="15" t="str">
        <f t="shared" si="50"/>
        <v>-</v>
      </c>
      <c r="V230" s="21">
        <v>0.22800000000000001</v>
      </c>
      <c r="W230" s="20" t="str">
        <f t="shared" si="51"/>
        <v>-</v>
      </c>
      <c r="X230" s="20" t="str">
        <f t="shared" si="52"/>
        <v>-</v>
      </c>
      <c r="Y230" s="21" t="str">
        <f t="shared" si="53"/>
        <v>-</v>
      </c>
      <c r="Z230" s="21" t="str">
        <f t="shared" si="54"/>
        <v>-</v>
      </c>
      <c r="AA230" s="21">
        <f t="shared" si="55"/>
        <v>0.44688</v>
      </c>
      <c r="AB230" s="21" t="str">
        <f t="shared" si="56"/>
        <v>-</v>
      </c>
    </row>
    <row r="231" spans="1:28" ht="16" customHeight="1" x14ac:dyDescent="0.2">
      <c r="A231" t="s">
        <v>498</v>
      </c>
      <c r="B231" t="s">
        <v>499</v>
      </c>
      <c r="C231" t="s">
        <v>504</v>
      </c>
      <c r="D231" t="s">
        <v>505</v>
      </c>
      <c r="E231" t="s">
        <v>502</v>
      </c>
      <c r="F231" t="s">
        <v>33</v>
      </c>
      <c r="G231" t="s">
        <v>503</v>
      </c>
      <c r="H231" s="15">
        <v>14.8</v>
      </c>
      <c r="I231" s="15">
        <f t="shared" si="58"/>
        <v>4.8297382846050425</v>
      </c>
      <c r="J231" s="17">
        <v>0.745</v>
      </c>
      <c r="K231" s="17">
        <v>301000</v>
      </c>
      <c r="L231" s="11" t="s">
        <v>35</v>
      </c>
      <c r="M231" s="11" t="s">
        <v>35</v>
      </c>
      <c r="N231" s="14">
        <v>65</v>
      </c>
      <c r="O231" s="11">
        <v>250.63</v>
      </c>
      <c r="P231" s="13">
        <v>2.641</v>
      </c>
      <c r="Q231" s="11">
        <f t="shared" si="46"/>
        <v>33.012500000000003</v>
      </c>
      <c r="R231" s="20">
        <f t="shared" si="47"/>
        <v>13.171807046243467</v>
      </c>
      <c r="S231" s="20">
        <f t="shared" si="48"/>
        <v>0.13171807046243467</v>
      </c>
      <c r="T231" s="15">
        <f t="shared" si="49"/>
        <v>1.9494274428440332</v>
      </c>
      <c r="U231" s="15">
        <f t="shared" si="50"/>
        <v>5.7100929244969603</v>
      </c>
      <c r="V231" s="21">
        <v>8.1100000000000005E-2</v>
      </c>
      <c r="W231" s="20">
        <f t="shared" si="51"/>
        <v>17.198508140855736</v>
      </c>
      <c r="X231" s="20">
        <f t="shared" si="52"/>
        <v>31.74</v>
      </c>
      <c r="Y231" s="21">
        <f t="shared" si="53"/>
        <v>0.15678068585521462</v>
      </c>
      <c r="Z231" s="21">
        <f t="shared" si="54"/>
        <v>0.17651457009899069</v>
      </c>
      <c r="AA231" s="21">
        <f t="shared" si="55"/>
        <v>0.15895600000000001</v>
      </c>
      <c r="AB231" s="21">
        <f t="shared" si="56"/>
        <v>0.34596855739402171</v>
      </c>
    </row>
    <row r="232" spans="1:28" ht="16" customHeight="1" x14ac:dyDescent="0.2">
      <c r="A232" t="s">
        <v>498</v>
      </c>
      <c r="B232" t="s">
        <v>499</v>
      </c>
      <c r="C232" t="s">
        <v>506</v>
      </c>
      <c r="D232" t="s">
        <v>507</v>
      </c>
      <c r="E232" t="s">
        <v>502</v>
      </c>
      <c r="F232" t="s">
        <v>33</v>
      </c>
      <c r="G232" t="s">
        <v>503</v>
      </c>
      <c r="H232" s="15">
        <v>2.4700000000000002</v>
      </c>
      <c r="I232" s="15">
        <f t="shared" si="58"/>
        <v>5.6073030467403342</v>
      </c>
      <c r="J232" s="17">
        <v>0.70099999999999996</v>
      </c>
      <c r="K232" s="17">
        <v>288000</v>
      </c>
      <c r="L232" s="11" t="s">
        <v>35</v>
      </c>
      <c r="M232" s="11" t="s">
        <v>35</v>
      </c>
      <c r="N232" s="14">
        <v>65</v>
      </c>
      <c r="O232" s="11">
        <v>250.62</v>
      </c>
      <c r="P232" s="13">
        <v>20.149000000000001</v>
      </c>
      <c r="Q232" s="11">
        <f t="shared" si="46"/>
        <v>251.86250000000001</v>
      </c>
      <c r="R232" s="20">
        <f t="shared" si="47"/>
        <v>100.49577048918681</v>
      </c>
      <c r="S232" s="20">
        <f t="shared" si="48"/>
        <v>1.0049577048918681</v>
      </c>
      <c r="T232" s="15">
        <f t="shared" si="49"/>
        <v>2.4822455310829143</v>
      </c>
      <c r="U232" s="15">
        <f t="shared" si="50"/>
        <v>5.6051552625147725</v>
      </c>
      <c r="V232" s="21">
        <v>4.8399999999999999E-2</v>
      </c>
      <c r="W232" s="20">
        <f t="shared" si="51"/>
        <v>3.0015454861283435</v>
      </c>
      <c r="X232" s="20">
        <f t="shared" si="52"/>
        <v>31.74</v>
      </c>
      <c r="Y232" s="21">
        <f t="shared" si="53"/>
        <v>0.13846006065162411</v>
      </c>
      <c r="Z232" s="21">
        <f t="shared" si="54"/>
        <v>0.14667565713386604</v>
      </c>
      <c r="AA232" s="21">
        <f t="shared" si="55"/>
        <v>9.486399999999999E-2</v>
      </c>
      <c r="AB232" s="21">
        <f t="shared" si="56"/>
        <v>0.28748428798237746</v>
      </c>
    </row>
    <row r="233" spans="1:28" ht="16" customHeight="1" x14ac:dyDescent="0.2">
      <c r="A233" t="s">
        <v>498</v>
      </c>
      <c r="B233" t="s">
        <v>499</v>
      </c>
      <c r="C233" t="s">
        <v>508</v>
      </c>
      <c r="D233" t="s">
        <v>509</v>
      </c>
      <c r="E233" t="s">
        <v>502</v>
      </c>
      <c r="F233" t="s">
        <v>33</v>
      </c>
      <c r="G233" t="s">
        <v>503</v>
      </c>
      <c r="H233" s="15">
        <v>2.71</v>
      </c>
      <c r="I233" s="15">
        <f t="shared" si="58"/>
        <v>5.5670307091255946</v>
      </c>
      <c r="J233" s="17">
        <v>0.81</v>
      </c>
      <c r="K233" s="17">
        <v>350000</v>
      </c>
      <c r="L233" s="11" t="s">
        <v>247</v>
      </c>
      <c r="M233" s="11" t="s">
        <v>247</v>
      </c>
      <c r="N233" s="14">
        <v>20</v>
      </c>
      <c r="O233" s="11">
        <v>499.82</v>
      </c>
      <c r="P233" s="13">
        <v>28.96</v>
      </c>
      <c r="Q233" s="11">
        <f t="shared" si="46"/>
        <v>362</v>
      </c>
      <c r="R233" s="20">
        <f t="shared" si="47"/>
        <v>72.426073386419105</v>
      </c>
      <c r="S233" s="20">
        <f t="shared" si="48"/>
        <v>0.7242607338641911</v>
      </c>
      <c r="T233" s="15">
        <f t="shared" si="49"/>
        <v>1.962746588771958</v>
      </c>
      <c r="U233" s="15">
        <f t="shared" si="50"/>
        <v>5.7071357687659239</v>
      </c>
      <c r="V233" s="21">
        <v>5.4800000000000001E-2</v>
      </c>
      <c r="W233" s="20">
        <f t="shared" si="51"/>
        <v>2.3499861878453037</v>
      </c>
      <c r="X233" s="20">
        <f t="shared" si="52"/>
        <v>31.74</v>
      </c>
      <c r="Y233" s="21">
        <f t="shared" si="53"/>
        <v>0.13822236617313077</v>
      </c>
      <c r="Z233" s="21">
        <f t="shared" si="54"/>
        <v>0.14868914725190621</v>
      </c>
      <c r="AA233" s="21">
        <f t="shared" si="55"/>
        <v>0.107408</v>
      </c>
      <c r="AB233" s="21">
        <f t="shared" si="56"/>
        <v>0.29143072861373615</v>
      </c>
    </row>
    <row r="234" spans="1:28" ht="16" customHeight="1" x14ac:dyDescent="0.2">
      <c r="A234" t="s">
        <v>498</v>
      </c>
      <c r="B234" t="s">
        <v>499</v>
      </c>
      <c r="C234" t="s">
        <v>510</v>
      </c>
      <c r="D234" t="s">
        <v>511</v>
      </c>
      <c r="E234" t="s">
        <v>502</v>
      </c>
      <c r="F234" t="s">
        <v>33</v>
      </c>
      <c r="G234" t="s">
        <v>503</v>
      </c>
      <c r="H234" s="15">
        <v>6.91</v>
      </c>
      <c r="I234" s="15">
        <f t="shared" si="58"/>
        <v>5.1605219526258015</v>
      </c>
      <c r="J234" s="17">
        <v>0.73599999999999999</v>
      </c>
      <c r="K234" s="17">
        <v>326000</v>
      </c>
      <c r="L234" s="11" t="s">
        <v>35</v>
      </c>
      <c r="M234" s="11" t="s">
        <v>35</v>
      </c>
      <c r="N234" s="14">
        <v>65</v>
      </c>
      <c r="O234" s="11">
        <v>250.7</v>
      </c>
      <c r="P234" s="13">
        <v>21.791</v>
      </c>
      <c r="Q234" s="11">
        <f t="shared" si="46"/>
        <v>272.38749999999999</v>
      </c>
      <c r="R234" s="20">
        <f t="shared" si="47"/>
        <v>108.65077782209814</v>
      </c>
      <c r="S234" s="20">
        <f t="shared" si="48"/>
        <v>1.0865077782209813</v>
      </c>
      <c r="T234" s="15">
        <f t="shared" si="49"/>
        <v>7.5077687475069812</v>
      </c>
      <c r="U234" s="15">
        <f t="shared" si="50"/>
        <v>5.1244891128791892</v>
      </c>
      <c r="V234" s="21">
        <v>9.7699999999999995E-2</v>
      </c>
      <c r="W234" s="20">
        <f t="shared" si="51"/>
        <v>2.8401753017300719</v>
      </c>
      <c r="X234" s="20">
        <f t="shared" si="52"/>
        <v>31.74</v>
      </c>
      <c r="Y234" s="21">
        <f t="shared" si="53"/>
        <v>0.13839583937562031</v>
      </c>
      <c r="Z234" s="21">
        <f t="shared" si="54"/>
        <v>0.16940690173804165</v>
      </c>
      <c r="AA234" s="21">
        <f t="shared" si="55"/>
        <v>0.191492</v>
      </c>
      <c r="AB234" s="21">
        <f t="shared" si="56"/>
        <v>0.33203752740656162</v>
      </c>
    </row>
    <row r="235" spans="1:28" ht="16" customHeight="1" x14ac:dyDescent="0.2">
      <c r="A235" t="s">
        <v>498</v>
      </c>
      <c r="B235" t="s">
        <v>499</v>
      </c>
      <c r="C235" t="s">
        <v>512</v>
      </c>
      <c r="D235" t="s">
        <v>513</v>
      </c>
      <c r="E235" t="s">
        <v>502</v>
      </c>
      <c r="F235" t="s">
        <v>38</v>
      </c>
      <c r="G235" t="s">
        <v>503</v>
      </c>
      <c r="H235" s="15">
        <v>7.88</v>
      </c>
      <c r="I235" s="15">
        <f t="shared" si="58"/>
        <v>5.103473782510445</v>
      </c>
      <c r="J235" s="17">
        <v>0.52300000000000002</v>
      </c>
      <c r="K235" s="17">
        <v>234000</v>
      </c>
      <c r="L235" s="11" t="s">
        <v>35</v>
      </c>
      <c r="M235" s="11" t="s">
        <v>81</v>
      </c>
      <c r="N235" s="14">
        <v>65</v>
      </c>
      <c r="O235" s="11">
        <v>250.64</v>
      </c>
      <c r="P235" s="23" t="s">
        <v>82</v>
      </c>
      <c r="Q235" s="11" t="str">
        <f t="shared" si="46"/>
        <v>-</v>
      </c>
      <c r="R235" s="24" t="str">
        <f t="shared" si="47"/>
        <v>-</v>
      </c>
      <c r="S235" s="20" t="str">
        <f t="shared" si="48"/>
        <v>-</v>
      </c>
      <c r="T235" s="15" t="str">
        <f t="shared" si="49"/>
        <v>-</v>
      </c>
      <c r="U235" s="15" t="str">
        <f t="shared" si="50"/>
        <v>-</v>
      </c>
      <c r="V235" s="21">
        <v>9.11E-2</v>
      </c>
      <c r="W235" s="20" t="str">
        <f t="shared" si="51"/>
        <v>-</v>
      </c>
      <c r="X235" s="20" t="str">
        <f t="shared" si="52"/>
        <v>-</v>
      </c>
      <c r="Y235" s="21" t="str">
        <f t="shared" si="53"/>
        <v>-</v>
      </c>
      <c r="Z235" s="21" t="str">
        <f t="shared" si="54"/>
        <v>-</v>
      </c>
      <c r="AA235" s="21">
        <f t="shared" si="55"/>
        <v>0.17855599999999999</v>
      </c>
      <c r="AB235" s="21" t="str">
        <f t="shared" si="56"/>
        <v>-</v>
      </c>
    </row>
    <row r="236" spans="1:28" ht="16" customHeight="1" x14ac:dyDescent="0.2">
      <c r="A236" t="s">
        <v>498</v>
      </c>
      <c r="B236" t="s">
        <v>499</v>
      </c>
      <c r="C236" t="s">
        <v>514</v>
      </c>
      <c r="D236" t="s">
        <v>515</v>
      </c>
      <c r="E236" t="s">
        <v>502</v>
      </c>
      <c r="F236" t="s">
        <v>38</v>
      </c>
      <c r="G236" t="s">
        <v>503</v>
      </c>
      <c r="H236" s="15">
        <v>0.79900000000000004</v>
      </c>
      <c r="I236" s="15">
        <f t="shared" si="58"/>
        <v>6.0974532206860088</v>
      </c>
      <c r="J236" s="17">
        <v>0.55900000000000005</v>
      </c>
      <c r="K236" s="17">
        <v>268000</v>
      </c>
      <c r="L236" s="11" t="s">
        <v>35</v>
      </c>
      <c r="M236" s="11" t="s">
        <v>35</v>
      </c>
      <c r="N236" s="14">
        <v>65</v>
      </c>
      <c r="O236" s="11">
        <v>249.28</v>
      </c>
      <c r="P236" s="13">
        <v>19.965</v>
      </c>
      <c r="Q236" s="11">
        <f t="shared" si="46"/>
        <v>249.5625</v>
      </c>
      <c r="R236" s="20">
        <f t="shared" si="47"/>
        <v>100.11332637997432</v>
      </c>
      <c r="S236" s="20">
        <f t="shared" si="48"/>
        <v>1.0011332637997432</v>
      </c>
      <c r="T236" s="15">
        <f t="shared" si="49"/>
        <v>0.79990547777599486</v>
      </c>
      <c r="U236" s="15">
        <f t="shared" si="50"/>
        <v>6.0969613291400666</v>
      </c>
      <c r="V236" s="21">
        <v>9.2700000000000005E-2</v>
      </c>
      <c r="W236" s="20">
        <f t="shared" si="51"/>
        <v>3.0212822439268718</v>
      </c>
      <c r="X236" s="20">
        <f t="shared" si="52"/>
        <v>31.74</v>
      </c>
      <c r="Y236" s="21">
        <f t="shared" si="53"/>
        <v>0.13846815678520971</v>
      </c>
      <c r="Z236" s="21">
        <f t="shared" si="54"/>
        <v>0.16663349136201105</v>
      </c>
      <c r="AA236" s="21">
        <f t="shared" si="55"/>
        <v>0.18169199999999999</v>
      </c>
      <c r="AB236" s="21">
        <f t="shared" si="56"/>
        <v>0.32660164306954165</v>
      </c>
    </row>
    <row r="237" spans="1:28" ht="16" customHeight="1" x14ac:dyDescent="0.2">
      <c r="A237" t="s">
        <v>498</v>
      </c>
      <c r="B237" t="s">
        <v>499</v>
      </c>
      <c r="C237" t="s">
        <v>516</v>
      </c>
      <c r="D237" t="s">
        <v>517</v>
      </c>
      <c r="E237" t="s">
        <v>502</v>
      </c>
      <c r="F237" t="s">
        <v>33</v>
      </c>
      <c r="G237" t="s">
        <v>503</v>
      </c>
      <c r="H237" s="15">
        <v>2.38</v>
      </c>
      <c r="I237" s="15">
        <f t="shared" si="58"/>
        <v>5.6234230429434877</v>
      </c>
      <c r="J237" s="17">
        <v>0.54700000000000004</v>
      </c>
      <c r="K237" s="17">
        <v>264000</v>
      </c>
      <c r="L237" s="11" t="s">
        <v>35</v>
      </c>
      <c r="M237" s="11" t="s">
        <v>35</v>
      </c>
      <c r="N237" s="14">
        <v>65</v>
      </c>
      <c r="O237" s="11">
        <v>249.27</v>
      </c>
      <c r="P237" s="13">
        <v>8.1059999999999999</v>
      </c>
      <c r="Q237" s="11">
        <f t="shared" si="46"/>
        <v>101.325</v>
      </c>
      <c r="R237" s="20">
        <f t="shared" si="47"/>
        <v>40.648694187026116</v>
      </c>
      <c r="S237" s="20">
        <f t="shared" si="48"/>
        <v>0.40648694187026119</v>
      </c>
      <c r="T237" s="15">
        <f t="shared" si="49"/>
        <v>0.96743892165122158</v>
      </c>
      <c r="U237" s="15">
        <f t="shared" si="50"/>
        <v>6.0143764442182679</v>
      </c>
      <c r="V237" s="21">
        <v>4.1700000000000001E-2</v>
      </c>
      <c r="W237" s="20">
        <f t="shared" si="51"/>
        <v>6.1832173698494941</v>
      </c>
      <c r="X237" s="20">
        <f t="shared" si="52"/>
        <v>31.74</v>
      </c>
      <c r="Y237" s="21">
        <f t="shared" si="53"/>
        <v>0.14043634324662185</v>
      </c>
      <c r="Z237" s="21">
        <f t="shared" si="54"/>
        <v>0.14649660919107646</v>
      </c>
      <c r="AA237" s="21">
        <f t="shared" si="55"/>
        <v>8.1731999999999999E-2</v>
      </c>
      <c r="AB237" s="21">
        <f t="shared" si="56"/>
        <v>0.28713335401450985</v>
      </c>
    </row>
    <row r="238" spans="1:28" ht="16" customHeight="1" x14ac:dyDescent="0.2">
      <c r="A238" t="s">
        <v>498</v>
      </c>
      <c r="B238" t="s">
        <v>499</v>
      </c>
      <c r="C238" t="s">
        <v>518</v>
      </c>
      <c r="D238" t="s">
        <v>519</v>
      </c>
      <c r="E238" t="s">
        <v>502</v>
      </c>
      <c r="F238" t="s">
        <v>38</v>
      </c>
      <c r="G238" t="s">
        <v>503</v>
      </c>
      <c r="H238" s="15">
        <v>116</v>
      </c>
      <c r="I238" s="15">
        <f t="shared" si="58"/>
        <v>3.9355420107730814</v>
      </c>
      <c r="J238" s="17">
        <v>0.56299999999999994</v>
      </c>
      <c r="K238" s="17">
        <v>269000</v>
      </c>
      <c r="L238" s="11" t="s">
        <v>35</v>
      </c>
      <c r="M238" s="11" t="s">
        <v>35</v>
      </c>
      <c r="N238" s="14">
        <v>65</v>
      </c>
      <c r="O238" s="11">
        <v>249.71</v>
      </c>
      <c r="P238" s="13">
        <v>12.526</v>
      </c>
      <c r="Q238" s="11">
        <f t="shared" si="46"/>
        <v>156.57499999999999</v>
      </c>
      <c r="R238" s="20">
        <f t="shared" si="47"/>
        <v>62.702735172800438</v>
      </c>
      <c r="S238" s="20">
        <f t="shared" si="48"/>
        <v>0.62702735172800439</v>
      </c>
      <c r="T238" s="15">
        <f t="shared" si="49"/>
        <v>72.73517280044851</v>
      </c>
      <c r="U238" s="15">
        <f t="shared" si="50"/>
        <v>4.1382555250532791</v>
      </c>
      <c r="V238" s="21">
        <v>0.27800000000000002</v>
      </c>
      <c r="W238" s="20">
        <f t="shared" si="51"/>
        <v>4.3048347437330357</v>
      </c>
      <c r="X238" s="20">
        <f t="shared" si="52"/>
        <v>31.74</v>
      </c>
      <c r="Y238" s="21">
        <f t="shared" si="53"/>
        <v>0.13910711922332575</v>
      </c>
      <c r="Z238" s="21">
        <f t="shared" si="54"/>
        <v>0.31086136881029874</v>
      </c>
      <c r="AA238" s="21">
        <f t="shared" si="55"/>
        <v>0.54488000000000003</v>
      </c>
      <c r="AB238" s="21">
        <f t="shared" si="56"/>
        <v>0.60928828286818548</v>
      </c>
    </row>
    <row r="239" spans="1:28" ht="16" customHeight="1" x14ac:dyDescent="0.2">
      <c r="A239" t="s">
        <v>498</v>
      </c>
      <c r="B239" t="s">
        <v>499</v>
      </c>
      <c r="C239" t="s">
        <v>520</v>
      </c>
      <c r="D239" t="s">
        <v>521</v>
      </c>
      <c r="E239" t="s">
        <v>502</v>
      </c>
      <c r="F239" t="s">
        <v>33</v>
      </c>
      <c r="G239" t="s">
        <v>503</v>
      </c>
      <c r="H239" s="15">
        <v>4.17</v>
      </c>
      <c r="I239" s="15">
        <f t="shared" si="58"/>
        <v>5.3798639450262424</v>
      </c>
      <c r="J239" s="17">
        <v>1.07</v>
      </c>
      <c r="K239" s="17">
        <v>436000</v>
      </c>
      <c r="L239" s="11" t="s">
        <v>35</v>
      </c>
      <c r="M239" s="11" t="s">
        <v>35</v>
      </c>
      <c r="N239" s="14">
        <v>65</v>
      </c>
      <c r="O239" s="11">
        <v>249.61</v>
      </c>
      <c r="P239" s="13">
        <v>9.173</v>
      </c>
      <c r="Q239" s="11">
        <f t="shared" si="46"/>
        <v>114.66249999999999</v>
      </c>
      <c r="R239" s="20">
        <f t="shared" si="47"/>
        <v>45.936661191458668</v>
      </c>
      <c r="S239" s="20">
        <f t="shared" si="48"/>
        <v>0.45936661191458666</v>
      </c>
      <c r="T239" s="15">
        <f t="shared" si="49"/>
        <v>1.9155587716838263</v>
      </c>
      <c r="U239" s="15">
        <f t="shared" si="50"/>
        <v>5.7177045187911011</v>
      </c>
      <c r="V239" s="21">
        <v>5.3499999999999999E-2</v>
      </c>
      <c r="W239" s="20">
        <f t="shared" si="51"/>
        <v>5.5640226752425601</v>
      </c>
      <c r="X239" s="20">
        <f t="shared" si="52"/>
        <v>31.74</v>
      </c>
      <c r="Y239" s="21">
        <f t="shared" si="53"/>
        <v>0.1399470385065904</v>
      </c>
      <c r="Z239" s="21">
        <f t="shared" si="54"/>
        <v>0.14982464278871183</v>
      </c>
      <c r="AA239" s="21">
        <f t="shared" si="55"/>
        <v>0.10485999999999999</v>
      </c>
      <c r="AB239" s="21">
        <f t="shared" si="56"/>
        <v>0.29365629986587516</v>
      </c>
    </row>
    <row r="240" spans="1:28" ht="16" customHeight="1" x14ac:dyDescent="0.2">
      <c r="A240" t="s">
        <v>498</v>
      </c>
      <c r="B240" t="s">
        <v>499</v>
      </c>
      <c r="C240" t="s">
        <v>522</v>
      </c>
      <c r="D240" t="s">
        <v>523</v>
      </c>
      <c r="E240" t="s">
        <v>502</v>
      </c>
      <c r="F240" t="s">
        <v>33</v>
      </c>
      <c r="G240" t="s">
        <v>503</v>
      </c>
      <c r="H240" s="15">
        <v>4.75</v>
      </c>
      <c r="I240" s="15">
        <f t="shared" si="58"/>
        <v>5.3233063903751336</v>
      </c>
      <c r="J240" s="17">
        <v>0.92900000000000005</v>
      </c>
      <c r="K240" s="17">
        <v>356000</v>
      </c>
      <c r="L240" s="11" t="s">
        <v>247</v>
      </c>
      <c r="M240" s="11" t="s">
        <v>247</v>
      </c>
      <c r="N240" s="14">
        <v>20</v>
      </c>
      <c r="O240" s="11">
        <v>499.44</v>
      </c>
      <c r="P240" s="13">
        <v>31.35</v>
      </c>
      <c r="Q240" s="11">
        <f t="shared" si="46"/>
        <v>391.875</v>
      </c>
      <c r="R240" s="20">
        <f t="shared" si="47"/>
        <v>78.462878423834695</v>
      </c>
      <c r="S240" s="20">
        <f t="shared" si="48"/>
        <v>0.78462878423834692</v>
      </c>
      <c r="T240" s="15">
        <f t="shared" si="49"/>
        <v>3.7269867251321478</v>
      </c>
      <c r="U240" s="15">
        <f t="shared" si="50"/>
        <v>5.4286421541235743</v>
      </c>
      <c r="V240" s="21">
        <v>5.1999999999999998E-2</v>
      </c>
      <c r="W240" s="20">
        <f t="shared" si="51"/>
        <v>2.236395534290271</v>
      </c>
      <c r="X240" s="20">
        <f t="shared" si="52"/>
        <v>31.74</v>
      </c>
      <c r="Y240" s="21">
        <f t="shared" si="53"/>
        <v>0.13818681704520588</v>
      </c>
      <c r="Z240" s="21">
        <f t="shared" si="54"/>
        <v>0.14764686385116754</v>
      </c>
      <c r="AA240" s="21">
        <f t="shared" si="55"/>
        <v>0.10192</v>
      </c>
      <c r="AB240" s="21">
        <f t="shared" si="56"/>
        <v>0.28938785314828835</v>
      </c>
    </row>
    <row r="241" spans="1:28" ht="16" customHeight="1" x14ac:dyDescent="0.2">
      <c r="A241" t="s">
        <v>498</v>
      </c>
      <c r="B241" t="s">
        <v>499</v>
      </c>
      <c r="C241" t="s">
        <v>524</v>
      </c>
      <c r="D241" t="s">
        <v>525</v>
      </c>
      <c r="E241" t="s">
        <v>502</v>
      </c>
      <c r="F241" t="s">
        <v>33</v>
      </c>
      <c r="G241" t="s">
        <v>503</v>
      </c>
      <c r="H241" s="15">
        <v>10.4</v>
      </c>
      <c r="I241" s="15">
        <f t="shared" si="58"/>
        <v>4.9829666607012193</v>
      </c>
      <c r="J241" s="17">
        <v>0.751</v>
      </c>
      <c r="K241" s="17">
        <v>289000</v>
      </c>
      <c r="L241" s="11" t="s">
        <v>247</v>
      </c>
      <c r="M241" s="11" t="s">
        <v>247</v>
      </c>
      <c r="N241" s="14">
        <v>20</v>
      </c>
      <c r="O241" s="11">
        <v>498.42</v>
      </c>
      <c r="P241" s="13">
        <v>19.190000000000001</v>
      </c>
      <c r="Q241" s="11">
        <f t="shared" si="46"/>
        <v>239.87500000000003</v>
      </c>
      <c r="R241" s="20">
        <f t="shared" si="47"/>
        <v>48.127081577785809</v>
      </c>
      <c r="S241" s="20">
        <f t="shared" si="48"/>
        <v>0.48127081577785807</v>
      </c>
      <c r="T241" s="15">
        <f t="shared" si="49"/>
        <v>5.0052164840897237</v>
      </c>
      <c r="U241" s="15">
        <f t="shared" si="50"/>
        <v>5.3005771338065726</v>
      </c>
      <c r="V241" s="21">
        <v>0.108</v>
      </c>
      <c r="W241" s="20">
        <f t="shared" si="51"/>
        <v>3.1085669619593537</v>
      </c>
      <c r="X241" s="20">
        <f t="shared" si="52"/>
        <v>31.74</v>
      </c>
      <c r="Y241" s="21">
        <f t="shared" si="53"/>
        <v>0.13850459185334379</v>
      </c>
      <c r="Z241" s="21">
        <f t="shared" si="54"/>
        <v>0.17563462632539562</v>
      </c>
      <c r="AA241" s="21">
        <f t="shared" si="55"/>
        <v>0.21168000000000001</v>
      </c>
      <c r="AB241" s="21">
        <f t="shared" si="56"/>
        <v>0.34424386759777542</v>
      </c>
    </row>
    <row r="242" spans="1:28" ht="16" customHeight="1" x14ac:dyDescent="0.2">
      <c r="A242" t="s">
        <v>498</v>
      </c>
      <c r="B242" t="s">
        <v>499</v>
      </c>
      <c r="C242" t="s">
        <v>526</v>
      </c>
      <c r="D242" t="s">
        <v>527</v>
      </c>
      <c r="E242" t="s">
        <v>502</v>
      </c>
      <c r="F242" t="s">
        <v>38</v>
      </c>
      <c r="G242" t="s">
        <v>503</v>
      </c>
      <c r="H242" s="15">
        <v>147</v>
      </c>
      <c r="I242" s="15">
        <f t="shared" si="58"/>
        <v>3.832682665251824</v>
      </c>
      <c r="J242" s="17">
        <v>1.32</v>
      </c>
      <c r="K242" s="17">
        <v>517000</v>
      </c>
      <c r="L242" s="11" t="s">
        <v>35</v>
      </c>
      <c r="M242" s="11" t="s">
        <v>81</v>
      </c>
      <c r="N242" s="14">
        <v>65</v>
      </c>
      <c r="O242" s="11">
        <v>249.95</v>
      </c>
      <c r="P242" s="23" t="s">
        <v>82</v>
      </c>
      <c r="Q242" s="11" t="str">
        <f t="shared" si="46"/>
        <v>-</v>
      </c>
      <c r="R242" s="24" t="str">
        <f t="shared" si="47"/>
        <v>-</v>
      </c>
      <c r="S242" s="20" t="str">
        <f t="shared" si="48"/>
        <v>-</v>
      </c>
      <c r="T242" s="15" t="str">
        <f t="shared" si="49"/>
        <v>-</v>
      </c>
      <c r="U242" s="15" t="str">
        <f t="shared" si="50"/>
        <v>-</v>
      </c>
      <c r="V242" s="21">
        <v>0.16200000000000001</v>
      </c>
      <c r="W242" s="20" t="str">
        <f t="shared" si="51"/>
        <v>-</v>
      </c>
      <c r="X242" s="20" t="str">
        <f t="shared" si="52"/>
        <v>-</v>
      </c>
      <c r="Y242" s="21" t="str">
        <f t="shared" si="53"/>
        <v>-</v>
      </c>
      <c r="Z242" s="21" t="str">
        <f t="shared" si="54"/>
        <v>-</v>
      </c>
      <c r="AA242" s="21">
        <f t="shared" si="55"/>
        <v>0.31752000000000002</v>
      </c>
      <c r="AB242" s="21" t="str">
        <f t="shared" si="56"/>
        <v>-</v>
      </c>
    </row>
    <row r="243" spans="1:28" ht="16" customHeight="1" x14ac:dyDescent="0.2">
      <c r="A243" t="s">
        <v>498</v>
      </c>
      <c r="B243" t="s">
        <v>499</v>
      </c>
      <c r="C243" t="s">
        <v>528</v>
      </c>
      <c r="D243" t="s">
        <v>529</v>
      </c>
      <c r="E243" t="s">
        <v>502</v>
      </c>
      <c r="F243" t="s">
        <v>38</v>
      </c>
      <c r="G243" t="s">
        <v>503</v>
      </c>
      <c r="H243" s="15">
        <v>2.2200000000000002</v>
      </c>
      <c r="I243" s="15">
        <f t="shared" si="58"/>
        <v>5.6536470255493612</v>
      </c>
      <c r="J243" s="17">
        <v>1.4</v>
      </c>
      <c r="K243" s="17">
        <v>496000</v>
      </c>
      <c r="L243" s="11" t="s">
        <v>35</v>
      </c>
      <c r="M243" s="11" t="s">
        <v>35</v>
      </c>
      <c r="N243" s="14">
        <v>65</v>
      </c>
      <c r="O243" s="11">
        <v>250.89</v>
      </c>
      <c r="P243" s="13">
        <v>25.495999999999999</v>
      </c>
      <c r="Q243" s="11">
        <f t="shared" si="46"/>
        <v>318.7</v>
      </c>
      <c r="R243" s="20">
        <f t="shared" si="47"/>
        <v>127.02778109928654</v>
      </c>
      <c r="S243" s="20">
        <f t="shared" si="48"/>
        <v>1.2702778109928654</v>
      </c>
      <c r="T243" s="15">
        <f t="shared" si="49"/>
        <v>2.8200167404041614</v>
      </c>
      <c r="U243" s="15">
        <f t="shared" si="50"/>
        <v>5.5497483135800811</v>
      </c>
      <c r="V243" s="21">
        <v>0.192</v>
      </c>
      <c r="W243" s="20">
        <f t="shared" si="51"/>
        <v>2.5524223407593349</v>
      </c>
      <c r="X243" s="20">
        <f t="shared" si="52"/>
        <v>31.74</v>
      </c>
      <c r="Y243" s="21">
        <f t="shared" si="53"/>
        <v>0.13829006038615563</v>
      </c>
      <c r="Z243" s="21">
        <f t="shared" si="54"/>
        <v>0.2366181328672986</v>
      </c>
      <c r="AA243" s="21">
        <f t="shared" si="55"/>
        <v>0.37631999999999999</v>
      </c>
      <c r="AB243" s="21">
        <f t="shared" si="56"/>
        <v>0.46377154041990526</v>
      </c>
    </row>
    <row r="244" spans="1:28" ht="16" customHeight="1" x14ac:dyDescent="0.2">
      <c r="A244" t="s">
        <v>498</v>
      </c>
      <c r="B244" t="s">
        <v>499</v>
      </c>
      <c r="C244" t="s">
        <v>530</v>
      </c>
      <c r="D244" t="s">
        <v>531</v>
      </c>
      <c r="E244" t="s">
        <v>502</v>
      </c>
      <c r="F244" t="s">
        <v>33</v>
      </c>
      <c r="G244" t="s">
        <v>503</v>
      </c>
      <c r="H244" s="15">
        <v>9.18</v>
      </c>
      <c r="I244" s="15">
        <f t="shared" si="58"/>
        <v>5.0371573187987577</v>
      </c>
      <c r="J244" s="17">
        <v>0.66500000000000004</v>
      </c>
      <c r="K244" s="17">
        <v>264000</v>
      </c>
      <c r="L244" s="11" t="s">
        <v>35</v>
      </c>
      <c r="M244" s="11" t="s">
        <v>35</v>
      </c>
      <c r="N244" s="14">
        <v>65</v>
      </c>
      <c r="O244" s="11">
        <v>249.19</v>
      </c>
      <c r="P244" s="13">
        <v>20.408999999999999</v>
      </c>
      <c r="Q244" s="11">
        <f t="shared" si="46"/>
        <v>255.11249999999998</v>
      </c>
      <c r="R244" s="20">
        <f t="shared" si="47"/>
        <v>102.37670050965126</v>
      </c>
      <c r="S244" s="20">
        <f t="shared" si="48"/>
        <v>1.0237670050965126</v>
      </c>
      <c r="T244" s="15">
        <f t="shared" si="49"/>
        <v>9.3981811067859855</v>
      </c>
      <c r="U244" s="15">
        <f t="shared" si="50"/>
        <v>5.0269561902004964</v>
      </c>
      <c r="V244" s="21">
        <v>0.11600000000000001</v>
      </c>
      <c r="W244" s="20">
        <f t="shared" si="51"/>
        <v>2.9742633152040767</v>
      </c>
      <c r="X244" s="20">
        <f t="shared" si="52"/>
        <v>31.74</v>
      </c>
      <c r="Y244" s="21">
        <f t="shared" si="53"/>
        <v>0.13844895594359408</v>
      </c>
      <c r="Z244" s="21">
        <f t="shared" si="54"/>
        <v>0.1806214643996423</v>
      </c>
      <c r="AA244" s="21">
        <f t="shared" si="55"/>
        <v>0.22736000000000001</v>
      </c>
      <c r="AB244" s="21">
        <f t="shared" si="56"/>
        <v>0.3540180702232989</v>
      </c>
    </row>
    <row r="245" spans="1:28" ht="16" customHeight="1" x14ac:dyDescent="0.2">
      <c r="A245" t="s">
        <v>498</v>
      </c>
      <c r="B245" t="s">
        <v>499</v>
      </c>
      <c r="C245" t="s">
        <v>532</v>
      </c>
      <c r="D245" t="s">
        <v>533</v>
      </c>
      <c r="E245" t="s">
        <v>502</v>
      </c>
      <c r="F245" t="s">
        <v>38</v>
      </c>
      <c r="G245" t="s">
        <v>503</v>
      </c>
      <c r="H245" s="15">
        <v>919</v>
      </c>
      <c r="I245" s="15">
        <f t="shared" si="58"/>
        <v>3.0366844886138886</v>
      </c>
      <c r="J245" s="17">
        <v>1.27</v>
      </c>
      <c r="K245" s="17">
        <v>458000</v>
      </c>
      <c r="L245" s="11" t="s">
        <v>247</v>
      </c>
      <c r="M245" s="11" t="s">
        <v>247</v>
      </c>
      <c r="N245" s="14">
        <v>20</v>
      </c>
      <c r="O245" s="11">
        <v>500.28</v>
      </c>
      <c r="P245" s="13">
        <v>6.67</v>
      </c>
      <c r="Q245" s="11">
        <f t="shared" si="46"/>
        <v>83.375</v>
      </c>
      <c r="R245" s="20">
        <f t="shared" si="47"/>
        <v>16.665667226353243</v>
      </c>
      <c r="S245" s="20">
        <f t="shared" si="48"/>
        <v>0.16665667226353242</v>
      </c>
      <c r="T245" s="15">
        <f t="shared" si="49"/>
        <v>153.15748181018631</v>
      </c>
      <c r="U245" s="15">
        <f t="shared" si="50"/>
        <v>3.8148617828632054</v>
      </c>
      <c r="V245" s="21">
        <v>0.30099999999999999</v>
      </c>
      <c r="W245" s="20">
        <f t="shared" si="51"/>
        <v>7.3292653673163422</v>
      </c>
      <c r="X245" s="20">
        <f t="shared" si="52"/>
        <v>31.74</v>
      </c>
      <c r="Y245" s="21">
        <f t="shared" si="53"/>
        <v>0.14147243444128832</v>
      </c>
      <c r="Z245" s="21">
        <f t="shared" si="54"/>
        <v>0.33258901020139647</v>
      </c>
      <c r="AA245" s="21">
        <f t="shared" si="55"/>
        <v>0.58995999999999993</v>
      </c>
      <c r="AB245" s="21">
        <f t="shared" si="56"/>
        <v>0.65187445999473703</v>
      </c>
    </row>
    <row r="246" spans="1:28" ht="16" customHeight="1" x14ac:dyDescent="0.2">
      <c r="A246" t="s">
        <v>498</v>
      </c>
      <c r="B246" t="s">
        <v>499</v>
      </c>
      <c r="C246" t="s">
        <v>534</v>
      </c>
      <c r="D246" t="s">
        <v>535</v>
      </c>
      <c r="E246" t="s">
        <v>502</v>
      </c>
      <c r="F246" t="s">
        <v>38</v>
      </c>
      <c r="G246" t="s">
        <v>503</v>
      </c>
      <c r="H246" s="15">
        <v>78.5</v>
      </c>
      <c r="I246" s="15">
        <f t="shared" ref="I246:I277" si="59">IF(H246=0, 0, -LOG10(H246*10^-6))</f>
        <v>4.1051303432547472</v>
      </c>
      <c r="J246" s="17">
        <v>1.05</v>
      </c>
      <c r="K246" s="17">
        <v>428000</v>
      </c>
      <c r="L246" s="11" t="s">
        <v>35</v>
      </c>
      <c r="M246" s="11" t="s">
        <v>35</v>
      </c>
      <c r="N246" s="14">
        <v>65</v>
      </c>
      <c r="O246" s="11">
        <v>250.42</v>
      </c>
      <c r="P246" s="13">
        <v>18.190000000000001</v>
      </c>
      <c r="Q246" s="11">
        <f t="shared" si="46"/>
        <v>227.37500000000003</v>
      </c>
      <c r="R246" s="20">
        <f t="shared" si="47"/>
        <v>90.79746026675187</v>
      </c>
      <c r="S246" s="20">
        <f t="shared" si="48"/>
        <v>0.90797460266751873</v>
      </c>
      <c r="T246" s="15">
        <f t="shared" si="49"/>
        <v>71.276006309400216</v>
      </c>
      <c r="U246" s="15">
        <f t="shared" si="50"/>
        <v>4.1470566423940278</v>
      </c>
      <c r="V246" s="21">
        <v>0.20499999999999999</v>
      </c>
      <c r="W246" s="20">
        <f t="shared" si="51"/>
        <v>3.2321825178669594</v>
      </c>
      <c r="X246" s="20">
        <f t="shared" si="52"/>
        <v>31.74</v>
      </c>
      <c r="Y246" s="21">
        <f t="shared" si="53"/>
        <v>0.1385579504659242</v>
      </c>
      <c r="Z246" s="21">
        <f t="shared" si="54"/>
        <v>0.24743343678112201</v>
      </c>
      <c r="AA246" s="21">
        <f t="shared" si="55"/>
        <v>0.40179999999999999</v>
      </c>
      <c r="AB246" s="21">
        <f t="shared" si="56"/>
        <v>0.48496953609099913</v>
      </c>
    </row>
    <row r="247" spans="1:28" ht="16" customHeight="1" x14ac:dyDescent="0.2">
      <c r="A247" t="s">
        <v>498</v>
      </c>
      <c r="B247" t="s">
        <v>499</v>
      </c>
      <c r="C247" t="s">
        <v>536</v>
      </c>
      <c r="D247" t="s">
        <v>537</v>
      </c>
      <c r="E247" t="s">
        <v>502</v>
      </c>
      <c r="F247" t="s">
        <v>33</v>
      </c>
      <c r="G247" t="s">
        <v>503</v>
      </c>
      <c r="H247" s="15">
        <v>3.31</v>
      </c>
      <c r="I247" s="15">
        <f t="shared" si="59"/>
        <v>5.4801720062242811</v>
      </c>
      <c r="J247" s="17">
        <v>0.93899999999999995</v>
      </c>
      <c r="K247" s="17">
        <v>360000</v>
      </c>
      <c r="L247" s="11" t="s">
        <v>35</v>
      </c>
      <c r="M247" s="11" t="s">
        <v>35</v>
      </c>
      <c r="N247" s="14">
        <v>65</v>
      </c>
      <c r="O247" s="11">
        <v>250.61</v>
      </c>
      <c r="P247" s="13">
        <v>5.3330000000000002</v>
      </c>
      <c r="Q247" s="11">
        <f t="shared" si="46"/>
        <v>66.662500000000009</v>
      </c>
      <c r="R247" s="20">
        <f t="shared" si="47"/>
        <v>26.600095766330156</v>
      </c>
      <c r="S247" s="20">
        <f t="shared" si="48"/>
        <v>0.26600095766330156</v>
      </c>
      <c r="T247" s="15">
        <f t="shared" si="49"/>
        <v>0.88046316986552819</v>
      </c>
      <c r="U247" s="15">
        <f t="shared" si="50"/>
        <v>6.055288806032542</v>
      </c>
      <c r="V247" s="21">
        <v>3.3700000000000001E-2</v>
      </c>
      <c r="W247" s="20">
        <f t="shared" si="51"/>
        <v>8.9511306956684784</v>
      </c>
      <c r="X247" s="20">
        <f t="shared" si="52"/>
        <v>31.74</v>
      </c>
      <c r="Y247" s="21">
        <f t="shared" si="53"/>
        <v>0.14322175650047766</v>
      </c>
      <c r="Z247" s="21">
        <f t="shared" si="54"/>
        <v>0.1471331422048823</v>
      </c>
      <c r="AA247" s="21">
        <f t="shared" si="55"/>
        <v>6.6052E-2</v>
      </c>
      <c r="AB247" s="21">
        <f t="shared" si="56"/>
        <v>0.28838095872156932</v>
      </c>
    </row>
    <row r="248" spans="1:28" ht="16" customHeight="1" x14ac:dyDescent="0.2">
      <c r="A248" t="s">
        <v>498</v>
      </c>
      <c r="B248" t="s">
        <v>499</v>
      </c>
      <c r="C248" t="s">
        <v>538</v>
      </c>
      <c r="D248" t="s">
        <v>539</v>
      </c>
      <c r="E248" t="s">
        <v>502</v>
      </c>
      <c r="F248" t="s">
        <v>38</v>
      </c>
      <c r="G248" t="s">
        <v>503</v>
      </c>
      <c r="H248" s="15">
        <v>3.76</v>
      </c>
      <c r="I248" s="15">
        <f t="shared" si="59"/>
        <v>5.4248121550723392</v>
      </c>
      <c r="J248" s="17">
        <v>0.97199999999999998</v>
      </c>
      <c r="K248" s="17">
        <v>370000</v>
      </c>
      <c r="L248" s="11" t="s">
        <v>35</v>
      </c>
      <c r="M248" s="11" t="s">
        <v>35</v>
      </c>
      <c r="N248" s="14">
        <v>65</v>
      </c>
      <c r="O248" s="11">
        <v>249.85</v>
      </c>
      <c r="P248" s="13">
        <v>23.716999999999999</v>
      </c>
      <c r="Q248" s="11">
        <f t="shared" si="46"/>
        <v>296.46249999999998</v>
      </c>
      <c r="R248" s="20">
        <f t="shared" si="47"/>
        <v>118.65619371622972</v>
      </c>
      <c r="S248" s="20">
        <f t="shared" si="48"/>
        <v>1.1865619371622973</v>
      </c>
      <c r="T248" s="15">
        <f t="shared" si="49"/>
        <v>4.461472883730238</v>
      </c>
      <c r="U248" s="15">
        <f t="shared" si="50"/>
        <v>5.3505217422570759</v>
      </c>
      <c r="V248" s="21">
        <v>0.161</v>
      </c>
      <c r="W248" s="20">
        <f t="shared" si="51"/>
        <v>2.6793700721001814</v>
      </c>
      <c r="X248" s="20">
        <f t="shared" si="52"/>
        <v>31.74</v>
      </c>
      <c r="Y248" s="21">
        <f t="shared" si="53"/>
        <v>0.13833534513952253</v>
      </c>
      <c r="Z248" s="21">
        <f t="shared" si="54"/>
        <v>0.21226791494446545</v>
      </c>
      <c r="AA248" s="21">
        <f t="shared" si="55"/>
        <v>0.31556000000000001</v>
      </c>
      <c r="AB248" s="21">
        <f t="shared" si="56"/>
        <v>0.41604511329115229</v>
      </c>
    </row>
    <row r="249" spans="1:28" ht="16" customHeight="1" x14ac:dyDescent="0.2">
      <c r="A249" t="s">
        <v>498</v>
      </c>
      <c r="B249" t="s">
        <v>499</v>
      </c>
      <c r="C249" t="s">
        <v>540</v>
      </c>
      <c r="D249" t="s">
        <v>541</v>
      </c>
      <c r="E249" t="s">
        <v>502</v>
      </c>
      <c r="F249" t="s">
        <v>38</v>
      </c>
      <c r="G249" t="s">
        <v>503</v>
      </c>
      <c r="H249" s="15">
        <v>130</v>
      </c>
      <c r="I249" s="15">
        <f t="shared" si="59"/>
        <v>3.8860566476931631</v>
      </c>
      <c r="J249" s="17">
        <v>1.29</v>
      </c>
      <c r="K249" s="17">
        <v>446000</v>
      </c>
      <c r="L249" s="11" t="s">
        <v>35</v>
      </c>
      <c r="M249" s="11" t="s">
        <v>81</v>
      </c>
      <c r="N249" s="14">
        <v>65</v>
      </c>
      <c r="O249" s="11">
        <v>250.65</v>
      </c>
      <c r="P249" s="23" t="s">
        <v>82</v>
      </c>
      <c r="Q249" s="11" t="str">
        <f t="shared" si="46"/>
        <v>-</v>
      </c>
      <c r="R249" s="24" t="str">
        <f t="shared" si="47"/>
        <v>-</v>
      </c>
      <c r="S249" s="20" t="str">
        <f t="shared" si="48"/>
        <v>-</v>
      </c>
      <c r="T249" s="15" t="str">
        <f t="shared" si="49"/>
        <v>-</v>
      </c>
      <c r="U249" s="15" t="str">
        <f t="shared" si="50"/>
        <v>-</v>
      </c>
      <c r="V249" s="21">
        <v>0.154</v>
      </c>
      <c r="W249" s="20" t="str">
        <f t="shared" si="51"/>
        <v>-</v>
      </c>
      <c r="X249" s="20" t="str">
        <f t="shared" si="52"/>
        <v>-</v>
      </c>
      <c r="Y249" s="21" t="str">
        <f t="shared" si="53"/>
        <v>-</v>
      </c>
      <c r="Z249" s="21" t="str">
        <f t="shared" si="54"/>
        <v>-</v>
      </c>
      <c r="AA249" s="21">
        <f t="shared" si="55"/>
        <v>0.30184</v>
      </c>
      <c r="AB249" s="21" t="str">
        <f t="shared" si="56"/>
        <v>-</v>
      </c>
    </row>
    <row r="250" spans="1:28" ht="16" customHeight="1" x14ac:dyDescent="0.2">
      <c r="A250" t="s">
        <v>498</v>
      </c>
      <c r="B250" t="s">
        <v>499</v>
      </c>
      <c r="C250" t="s">
        <v>542</v>
      </c>
      <c r="D250" t="s">
        <v>543</v>
      </c>
      <c r="E250" t="s">
        <v>502</v>
      </c>
      <c r="F250" t="s">
        <v>38</v>
      </c>
      <c r="G250" t="s">
        <v>503</v>
      </c>
      <c r="H250" s="15">
        <v>79.099999999999994</v>
      </c>
      <c r="I250" s="15">
        <f t="shared" si="59"/>
        <v>4.1018235165023231</v>
      </c>
      <c r="J250" s="17">
        <v>1.17</v>
      </c>
      <c r="K250" s="17">
        <v>411000</v>
      </c>
      <c r="L250" s="11" t="s">
        <v>35</v>
      </c>
      <c r="M250" s="11" t="s">
        <v>35</v>
      </c>
      <c r="N250" s="14">
        <v>65</v>
      </c>
      <c r="O250" s="11">
        <v>250.2</v>
      </c>
      <c r="P250" s="13">
        <v>1.4139999999999999</v>
      </c>
      <c r="Q250" s="11">
        <f t="shared" si="46"/>
        <v>17.675000000000001</v>
      </c>
      <c r="R250" s="20">
        <f t="shared" si="47"/>
        <v>7.0643485211830548</v>
      </c>
      <c r="S250" s="20">
        <f t="shared" si="48"/>
        <v>7.0643485211830545E-2</v>
      </c>
      <c r="T250" s="15">
        <f t="shared" si="49"/>
        <v>5.5878996802557959</v>
      </c>
      <c r="U250" s="15">
        <f t="shared" si="50"/>
        <v>5.2527513993907879</v>
      </c>
      <c r="V250" s="21">
        <v>0.19600000000000001</v>
      </c>
      <c r="W250" s="20">
        <f t="shared" si="51"/>
        <v>31.376265912305517</v>
      </c>
      <c r="X250" s="20">
        <f t="shared" si="52"/>
        <v>31.74</v>
      </c>
      <c r="Y250" s="21">
        <f t="shared" si="53"/>
        <v>0.19382858365483596</v>
      </c>
      <c r="Z250" s="21">
        <f t="shared" si="54"/>
        <v>0.27565471126327545</v>
      </c>
      <c r="AA250" s="21">
        <f t="shared" si="55"/>
        <v>0.38416</v>
      </c>
      <c r="AB250" s="21">
        <f t="shared" si="56"/>
        <v>0.54028323407601986</v>
      </c>
    </row>
    <row r="251" spans="1:28" ht="16" customHeight="1" x14ac:dyDescent="0.2">
      <c r="A251" t="s">
        <v>498</v>
      </c>
      <c r="B251" t="s">
        <v>499</v>
      </c>
      <c r="C251" t="s">
        <v>544</v>
      </c>
      <c r="D251" t="s">
        <v>545</v>
      </c>
      <c r="E251" t="s">
        <v>502</v>
      </c>
      <c r="F251" t="s">
        <v>38</v>
      </c>
      <c r="G251" t="s">
        <v>503</v>
      </c>
      <c r="H251" s="15">
        <v>9.3000000000000007</v>
      </c>
      <c r="I251" s="15">
        <f t="shared" si="59"/>
        <v>5.0315170514460652</v>
      </c>
      <c r="J251" s="17">
        <v>0.54700000000000004</v>
      </c>
      <c r="K251" s="17">
        <v>264000</v>
      </c>
      <c r="L251" s="11" t="s">
        <v>35</v>
      </c>
      <c r="M251" s="11" t="s">
        <v>35</v>
      </c>
      <c r="N251" s="14">
        <v>65</v>
      </c>
      <c r="O251" s="11">
        <v>250.02</v>
      </c>
      <c r="P251" s="13">
        <v>25.937999999999999</v>
      </c>
      <c r="Q251" s="11">
        <f t="shared" si="46"/>
        <v>324.22499999999997</v>
      </c>
      <c r="R251" s="20">
        <f t="shared" si="47"/>
        <v>129.67962562994958</v>
      </c>
      <c r="S251" s="20">
        <f t="shared" si="48"/>
        <v>1.2967962562994959</v>
      </c>
      <c r="T251" s="15">
        <f t="shared" si="49"/>
        <v>12.060205183585312</v>
      </c>
      <c r="U251" s="15">
        <f t="shared" si="50"/>
        <v>4.9186453033616351</v>
      </c>
      <c r="V251" s="21">
        <v>7.0900000000000005E-2</v>
      </c>
      <c r="W251" s="20">
        <f t="shared" si="51"/>
        <v>2.5235823887732285</v>
      </c>
      <c r="X251" s="20">
        <f t="shared" si="52"/>
        <v>31.74</v>
      </c>
      <c r="Y251" s="21">
        <f t="shared" si="53"/>
        <v>0.13828007695360031</v>
      </c>
      <c r="Z251" s="21">
        <f t="shared" si="54"/>
        <v>0.15539687796829646</v>
      </c>
      <c r="AA251" s="21">
        <f t="shared" si="55"/>
        <v>0.138964</v>
      </c>
      <c r="AB251" s="21">
        <f t="shared" si="56"/>
        <v>0.30457788081786108</v>
      </c>
    </row>
    <row r="252" spans="1:28" ht="16" customHeight="1" x14ac:dyDescent="0.2">
      <c r="A252" t="s">
        <v>498</v>
      </c>
      <c r="B252" t="s">
        <v>499</v>
      </c>
      <c r="C252" t="s">
        <v>546</v>
      </c>
      <c r="D252" t="s">
        <v>547</v>
      </c>
      <c r="E252" t="s">
        <v>502</v>
      </c>
      <c r="F252" t="s">
        <v>33</v>
      </c>
      <c r="G252" t="s">
        <v>503</v>
      </c>
      <c r="H252" s="15">
        <v>3.81</v>
      </c>
      <c r="I252" s="15">
        <f t="shared" si="59"/>
        <v>5.419075024324381</v>
      </c>
      <c r="J252" s="17">
        <v>0.83899999999999997</v>
      </c>
      <c r="K252" s="17">
        <v>329000</v>
      </c>
      <c r="L252" s="11" t="s">
        <v>247</v>
      </c>
      <c r="M252" s="11" t="s">
        <v>247</v>
      </c>
      <c r="N252" s="14">
        <v>20</v>
      </c>
      <c r="O252" s="11">
        <v>499.64</v>
      </c>
      <c r="P252" s="13">
        <v>40.82</v>
      </c>
      <c r="Q252" s="11">
        <f t="shared" si="46"/>
        <v>510.25</v>
      </c>
      <c r="R252" s="20">
        <f t="shared" si="47"/>
        <v>102.1235289408374</v>
      </c>
      <c r="S252" s="20">
        <f t="shared" si="48"/>
        <v>1.021235289408374</v>
      </c>
      <c r="T252" s="15">
        <f t="shared" si="49"/>
        <v>3.890906452645905</v>
      </c>
      <c r="U252" s="15">
        <f t="shared" si="50"/>
        <v>5.4099492106221287</v>
      </c>
      <c r="V252" s="21">
        <v>0.14499999999999999</v>
      </c>
      <c r="W252" s="20">
        <f t="shared" si="51"/>
        <v>1.9170798628123467</v>
      </c>
      <c r="X252" s="20">
        <f t="shared" si="52"/>
        <v>31.74</v>
      </c>
      <c r="Y252" s="21">
        <f t="shared" si="53"/>
        <v>0.1380962758570751</v>
      </c>
      <c r="Z252" s="21">
        <f t="shared" si="54"/>
        <v>0.20023881093732399</v>
      </c>
      <c r="AA252" s="21">
        <f t="shared" si="55"/>
        <v>0.28419999999999995</v>
      </c>
      <c r="AB252" s="21">
        <f t="shared" si="56"/>
        <v>0.39246806943715501</v>
      </c>
    </row>
    <row r="253" spans="1:28" ht="16" customHeight="1" x14ac:dyDescent="0.2">
      <c r="A253" t="s">
        <v>498</v>
      </c>
      <c r="B253" t="s">
        <v>499</v>
      </c>
      <c r="C253" t="s">
        <v>548</v>
      </c>
      <c r="D253" t="s">
        <v>549</v>
      </c>
      <c r="E253" t="s">
        <v>502</v>
      </c>
      <c r="F253" t="s">
        <v>38</v>
      </c>
      <c r="G253" t="s">
        <v>503</v>
      </c>
      <c r="H253" s="15">
        <v>11300</v>
      </c>
      <c r="I253" s="15">
        <f t="shared" si="59"/>
        <v>1.9469215565165803</v>
      </c>
      <c r="J253" s="17">
        <v>1.28</v>
      </c>
      <c r="K253" s="17">
        <v>463000</v>
      </c>
      <c r="L253" s="11" t="s">
        <v>35</v>
      </c>
      <c r="M253" s="11" t="s">
        <v>81</v>
      </c>
      <c r="N253" s="14">
        <v>65</v>
      </c>
      <c r="O253" s="11">
        <v>250.64</v>
      </c>
      <c r="P253" s="23" t="s">
        <v>82</v>
      </c>
      <c r="Q253" s="11" t="str">
        <f t="shared" si="46"/>
        <v>-</v>
      </c>
      <c r="R253" s="24" t="str">
        <f t="shared" si="47"/>
        <v>-</v>
      </c>
      <c r="S253" s="20" t="str">
        <f t="shared" si="48"/>
        <v>-</v>
      </c>
      <c r="T253" s="15" t="str">
        <f t="shared" si="49"/>
        <v>-</v>
      </c>
      <c r="U253" s="15" t="str">
        <f t="shared" si="50"/>
        <v>-</v>
      </c>
      <c r="V253" s="21">
        <v>0.63100000000000001</v>
      </c>
      <c r="W253" s="20" t="str">
        <f t="shared" si="51"/>
        <v>-</v>
      </c>
      <c r="X253" s="20" t="str">
        <f t="shared" si="52"/>
        <v>-</v>
      </c>
      <c r="Y253" s="21" t="str">
        <f t="shared" si="53"/>
        <v>-</v>
      </c>
      <c r="Z253" s="21" t="str">
        <f t="shared" si="54"/>
        <v>-</v>
      </c>
      <c r="AA253" s="21">
        <f t="shared" si="55"/>
        <v>1.2367600000000001</v>
      </c>
      <c r="AB253" s="21" t="str">
        <f t="shared" si="56"/>
        <v>-</v>
      </c>
    </row>
    <row r="254" spans="1:28" ht="16" customHeight="1" x14ac:dyDescent="0.2">
      <c r="A254" t="s">
        <v>498</v>
      </c>
      <c r="B254" t="s">
        <v>499</v>
      </c>
      <c r="C254" t="s">
        <v>550</v>
      </c>
      <c r="D254" t="s">
        <v>551</v>
      </c>
      <c r="E254" t="s">
        <v>502</v>
      </c>
      <c r="F254" t="s">
        <v>33</v>
      </c>
      <c r="G254" t="s">
        <v>503</v>
      </c>
      <c r="H254" s="15">
        <v>2.2000000000000002</v>
      </c>
      <c r="I254" s="15">
        <f t="shared" si="59"/>
        <v>5.6575773191777934</v>
      </c>
      <c r="J254" s="17">
        <v>0.54700000000000004</v>
      </c>
      <c r="K254" s="17">
        <v>230000</v>
      </c>
      <c r="L254" s="11" t="s">
        <v>35</v>
      </c>
      <c r="M254" s="11" t="s">
        <v>35</v>
      </c>
      <c r="N254" s="14">
        <v>65</v>
      </c>
      <c r="O254" s="11">
        <v>249.43</v>
      </c>
      <c r="P254" s="13">
        <v>6.3650000000000002</v>
      </c>
      <c r="Q254" s="11">
        <f t="shared" si="46"/>
        <v>79.5625</v>
      </c>
      <c r="R254" s="20">
        <f t="shared" si="47"/>
        <v>31.897726817143084</v>
      </c>
      <c r="S254" s="20">
        <f t="shared" si="48"/>
        <v>0.31897726817143085</v>
      </c>
      <c r="T254" s="15">
        <f t="shared" si="49"/>
        <v>0.70174998997714788</v>
      </c>
      <c r="U254" s="15">
        <f t="shared" si="50"/>
        <v>6.1538175848964007</v>
      </c>
      <c r="V254" s="21">
        <v>4.87E-2</v>
      </c>
      <c r="W254" s="20">
        <f t="shared" si="51"/>
        <v>7.639261586802828</v>
      </c>
      <c r="X254" s="20">
        <f t="shared" si="52"/>
        <v>31.74</v>
      </c>
      <c r="Y254" s="21">
        <f t="shared" si="53"/>
        <v>0.14178141294543228</v>
      </c>
      <c r="Z254" s="21">
        <f t="shared" si="54"/>
        <v>0.14991217114298355</v>
      </c>
      <c r="AA254" s="21">
        <f t="shared" si="55"/>
        <v>9.5451999999999995E-2</v>
      </c>
      <c r="AB254" s="21">
        <f t="shared" si="56"/>
        <v>0.29382785544024775</v>
      </c>
    </row>
    <row r="255" spans="1:28" ht="16" customHeight="1" x14ac:dyDescent="0.2">
      <c r="A255" t="s">
        <v>498</v>
      </c>
      <c r="B255" t="s">
        <v>499</v>
      </c>
      <c r="C255" t="s">
        <v>552</v>
      </c>
      <c r="D255" t="s">
        <v>553</v>
      </c>
      <c r="E255" t="s">
        <v>502</v>
      </c>
      <c r="F255" t="s">
        <v>33</v>
      </c>
      <c r="G255" t="s">
        <v>503</v>
      </c>
      <c r="H255" s="15">
        <v>12</v>
      </c>
      <c r="I255" s="15">
        <f t="shared" si="59"/>
        <v>4.9208187539523749</v>
      </c>
      <c r="J255" s="17">
        <v>1.71</v>
      </c>
      <c r="K255" s="17">
        <v>565000</v>
      </c>
      <c r="L255" s="11" t="s">
        <v>247</v>
      </c>
      <c r="M255" s="11" t="s">
        <v>247</v>
      </c>
      <c r="N255" s="14">
        <v>20</v>
      </c>
      <c r="O255" s="11">
        <v>498.54</v>
      </c>
      <c r="P255" s="13">
        <v>35.93</v>
      </c>
      <c r="Q255" s="11">
        <f t="shared" si="46"/>
        <v>449.125</v>
      </c>
      <c r="R255" s="20">
        <f t="shared" si="47"/>
        <v>90.088057126810284</v>
      </c>
      <c r="S255" s="20">
        <f t="shared" si="48"/>
        <v>0.90088057126810284</v>
      </c>
      <c r="T255" s="15">
        <f t="shared" si="49"/>
        <v>10.810566855217234</v>
      </c>
      <c r="U255" s="15">
        <f t="shared" si="50"/>
        <v>4.9661515330921606</v>
      </c>
      <c r="V255" s="21">
        <v>9.3200000000000005E-2</v>
      </c>
      <c r="W255" s="20">
        <f t="shared" si="51"/>
        <v>2.0609462844419704</v>
      </c>
      <c r="X255" s="20">
        <f t="shared" si="52"/>
        <v>31.74</v>
      </c>
      <c r="Y255" s="21">
        <f t="shared" si="53"/>
        <v>0.13813535295410964</v>
      </c>
      <c r="Z255" s="21">
        <f t="shared" si="54"/>
        <v>0.16663617775188092</v>
      </c>
      <c r="AA255" s="21">
        <f t="shared" si="55"/>
        <v>0.182672</v>
      </c>
      <c r="AB255" s="21">
        <f t="shared" si="56"/>
        <v>0.32660690839368661</v>
      </c>
    </row>
    <row r="256" spans="1:28" ht="16" customHeight="1" x14ac:dyDescent="0.2">
      <c r="A256" t="s">
        <v>498</v>
      </c>
      <c r="B256" t="s">
        <v>499</v>
      </c>
      <c r="C256" t="s">
        <v>554</v>
      </c>
      <c r="D256" t="s">
        <v>555</v>
      </c>
      <c r="E256" t="s">
        <v>502</v>
      </c>
      <c r="F256" t="s">
        <v>33</v>
      </c>
      <c r="G256" t="s">
        <v>503</v>
      </c>
      <c r="H256" s="15">
        <v>5.53</v>
      </c>
      <c r="I256" s="15">
        <f t="shared" si="59"/>
        <v>5.2572748686953021</v>
      </c>
      <c r="J256" s="17">
        <v>0.59599999999999997</v>
      </c>
      <c r="K256" s="17">
        <v>280000</v>
      </c>
      <c r="L256" s="11" t="s">
        <v>35</v>
      </c>
      <c r="M256" s="11" t="s">
        <v>35</v>
      </c>
      <c r="N256" s="14">
        <v>65</v>
      </c>
      <c r="O256" s="11">
        <v>249.55</v>
      </c>
      <c r="P256" s="13">
        <v>4.2430000000000003</v>
      </c>
      <c r="Q256" s="11">
        <f t="shared" si="46"/>
        <v>53.037500000000001</v>
      </c>
      <c r="R256" s="20">
        <f t="shared" si="47"/>
        <v>21.25325586054899</v>
      </c>
      <c r="S256" s="20">
        <f t="shared" si="48"/>
        <v>0.21253255860548989</v>
      </c>
      <c r="T256" s="15">
        <f t="shared" si="49"/>
        <v>1.1753050490883592</v>
      </c>
      <c r="U256" s="15">
        <f t="shared" si="50"/>
        <v>5.9298493981227702</v>
      </c>
      <c r="V256" s="21">
        <v>4.2200000000000001E-2</v>
      </c>
      <c r="W256" s="20">
        <f t="shared" si="51"/>
        <v>11.029691256186659</v>
      </c>
      <c r="X256" s="20">
        <f t="shared" si="52"/>
        <v>31.74</v>
      </c>
      <c r="Y256" s="21">
        <f t="shared" si="53"/>
        <v>0.14593081013481499</v>
      </c>
      <c r="Z256" s="21">
        <f t="shared" si="54"/>
        <v>0.15190997777171655</v>
      </c>
      <c r="AA256" s="21">
        <f t="shared" si="55"/>
        <v>8.2712000000000008E-2</v>
      </c>
      <c r="AB256" s="21">
        <f t="shared" si="56"/>
        <v>0.29774355643256445</v>
      </c>
    </row>
    <row r="257" spans="1:28" ht="16" customHeight="1" x14ac:dyDescent="0.2">
      <c r="A257" t="s">
        <v>498</v>
      </c>
      <c r="B257" t="s">
        <v>499</v>
      </c>
      <c r="C257" t="s">
        <v>556</v>
      </c>
      <c r="D257" t="s">
        <v>557</v>
      </c>
      <c r="E257" t="s">
        <v>502</v>
      </c>
      <c r="F257" t="s">
        <v>38</v>
      </c>
      <c r="G257" t="s">
        <v>503</v>
      </c>
      <c r="H257" s="15">
        <v>350</v>
      </c>
      <c r="I257" s="15">
        <f t="shared" si="59"/>
        <v>3.4559319556497243</v>
      </c>
      <c r="J257" s="17">
        <v>1.31</v>
      </c>
      <c r="K257" s="17">
        <v>513000</v>
      </c>
      <c r="L257" s="11" t="s">
        <v>35</v>
      </c>
      <c r="M257" s="11" t="s">
        <v>35</v>
      </c>
      <c r="N257" s="14">
        <v>65</v>
      </c>
      <c r="O257" s="11">
        <v>250.19</v>
      </c>
      <c r="P257" s="13">
        <v>10.44</v>
      </c>
      <c r="Q257" s="11">
        <f t="shared" si="46"/>
        <v>130.5</v>
      </c>
      <c r="R257" s="20">
        <f t="shared" si="47"/>
        <v>52.16035812782286</v>
      </c>
      <c r="S257" s="20">
        <f t="shared" si="48"/>
        <v>0.52160358127822859</v>
      </c>
      <c r="T257" s="15">
        <f t="shared" si="49"/>
        <v>182.56125344738001</v>
      </c>
      <c r="U257" s="15">
        <f t="shared" si="50"/>
        <v>3.7385913910929744</v>
      </c>
      <c r="V257" s="21">
        <v>0.27300000000000002</v>
      </c>
      <c r="W257" s="20">
        <f t="shared" si="51"/>
        <v>4.9931417624521073</v>
      </c>
      <c r="X257" s="20">
        <f t="shared" si="52"/>
        <v>31.74</v>
      </c>
      <c r="Y257" s="21">
        <f t="shared" si="53"/>
        <v>0.13954031500280997</v>
      </c>
      <c r="Z257" s="21">
        <f t="shared" si="54"/>
        <v>0.30659500894679198</v>
      </c>
      <c r="AA257" s="21">
        <f t="shared" si="55"/>
        <v>0.53508</v>
      </c>
      <c r="AB257" s="21">
        <f t="shared" si="56"/>
        <v>0.60092621753571229</v>
      </c>
    </row>
    <row r="258" spans="1:28" ht="16" customHeight="1" x14ac:dyDescent="0.2">
      <c r="A258" t="s">
        <v>498</v>
      </c>
      <c r="B258" t="s">
        <v>499</v>
      </c>
      <c r="C258" t="s">
        <v>558</v>
      </c>
      <c r="D258" t="s">
        <v>559</v>
      </c>
      <c r="E258" t="s">
        <v>502</v>
      </c>
      <c r="F258" t="s">
        <v>38</v>
      </c>
      <c r="G258" t="s">
        <v>503</v>
      </c>
      <c r="H258" s="15">
        <v>18100</v>
      </c>
      <c r="I258" s="15">
        <f t="shared" si="59"/>
        <v>1.7423214251308154</v>
      </c>
      <c r="J258" s="17">
        <v>1.28</v>
      </c>
      <c r="K258" s="17">
        <v>503000</v>
      </c>
      <c r="L258" s="11" t="s">
        <v>35</v>
      </c>
      <c r="M258" s="11" t="s">
        <v>35</v>
      </c>
      <c r="N258" s="14">
        <v>65</v>
      </c>
      <c r="O258" s="11">
        <v>249.44</v>
      </c>
      <c r="P258" s="13">
        <v>13.301</v>
      </c>
      <c r="Q258" s="11">
        <f t="shared" ref="Q258:Q321" si="60">IF(ISNUMBER(P258),12.5*P258,"-")</f>
        <v>166.26249999999999</v>
      </c>
      <c r="R258" s="20">
        <f t="shared" ref="R258:R321" si="61">IF(OR(Q258="-",O258="",O258=0),"-",Q258/O258*100)</f>
        <v>66.654305644643998</v>
      </c>
      <c r="S258" s="20">
        <f t="shared" ref="S258:S321" si="62">IF(R258="-","-",R258/100)</f>
        <v>0.66654305644643996</v>
      </c>
      <c r="T258" s="15">
        <f t="shared" ref="T258:T321" si="63">IF(H258="no data","no data",IF(OR(H258="",S258="-",S258=""),"-",H258*S258))</f>
        <v>12064.429321680564</v>
      </c>
      <c r="U258" s="15">
        <f t="shared" ref="U258:U321" si="64">IF(T258="no data","no data",IF(T258="-","-",IF(T258="","",IF(T258=0,0,-LOG10(T258*10^-6)))))</f>
        <v>1.9184932165075179</v>
      </c>
      <c r="V258" s="21">
        <v>0.52700000000000002</v>
      </c>
      <c r="W258" s="20">
        <f t="shared" ref="W258:W321" si="65">IF(OR(NOT(ISNUMBER(P258)),P258=0),"-",43.15/P258+0.86)</f>
        <v>4.1041169836854374</v>
      </c>
      <c r="X258" s="20">
        <f t="shared" ref="X258:X321" si="66">IF(W258="-","-",31.74)</f>
        <v>31.74</v>
      </c>
      <c r="Y258" s="21">
        <f t="shared" ref="Y258:Y321" si="67">IF(OR(W258="-",X258="-"),"-",SQRT((W258/100)^2+(X258/100)^2)/LN(10))</f>
        <v>0.13899264817553428</v>
      </c>
      <c r="Z258" s="21">
        <f t="shared" ref="Z258:Z321" si="68">IF(OR(V258="-",Y258="-",U258="no data",U258="",U258="-"),"-",SQRT(V258^2+Y258^2))</f>
        <v>0.54502106037000797</v>
      </c>
      <c r="AA258" s="21">
        <f t="shared" ref="AA258:AA321" si="69">IF(V258="-","-",V258*1.96)</f>
        <v>1.0329200000000001</v>
      </c>
      <c r="AB258" s="21">
        <f t="shared" ref="AB258:AB321" si="70">IF(Z258="-","-",Z258*1.96)</f>
        <v>1.0682412783252155</v>
      </c>
    </row>
    <row r="259" spans="1:28" ht="16" customHeight="1" x14ac:dyDescent="0.2">
      <c r="A259" t="s">
        <v>498</v>
      </c>
      <c r="B259" t="s">
        <v>499</v>
      </c>
      <c r="C259" t="s">
        <v>560</v>
      </c>
      <c r="D259" t="s">
        <v>561</v>
      </c>
      <c r="E259" t="s">
        <v>502</v>
      </c>
      <c r="F259" t="s">
        <v>33</v>
      </c>
      <c r="G259" t="s">
        <v>503</v>
      </c>
      <c r="H259" s="15">
        <v>16.600000000000001</v>
      </c>
      <c r="I259" s="15">
        <f t="shared" si="59"/>
        <v>4.779891911959945</v>
      </c>
      <c r="J259" s="17">
        <v>0.66200000000000003</v>
      </c>
      <c r="K259" s="17">
        <v>263000</v>
      </c>
      <c r="L259" s="11" t="s">
        <v>247</v>
      </c>
      <c r="M259" s="11" t="s">
        <v>247</v>
      </c>
      <c r="N259" s="14">
        <v>20</v>
      </c>
      <c r="O259" s="11">
        <v>499.66</v>
      </c>
      <c r="P259" s="13">
        <v>5.39</v>
      </c>
      <c r="Q259" s="11">
        <f t="shared" si="60"/>
        <v>67.375</v>
      </c>
      <c r="R259" s="20">
        <f t="shared" si="61"/>
        <v>13.484169235079854</v>
      </c>
      <c r="S259" s="20">
        <f t="shared" si="62"/>
        <v>0.13484169235079854</v>
      </c>
      <c r="T259" s="15">
        <f t="shared" si="63"/>
        <v>2.2383720930232558</v>
      </c>
      <c r="U259" s="15">
        <f t="shared" si="64"/>
        <v>5.6500677173990486</v>
      </c>
      <c r="V259" s="21">
        <v>0.21</v>
      </c>
      <c r="W259" s="20">
        <f t="shared" si="65"/>
        <v>8.8655658627087188</v>
      </c>
      <c r="X259" s="20">
        <f t="shared" si="66"/>
        <v>31.74</v>
      </c>
      <c r="Y259" s="21">
        <f t="shared" si="67"/>
        <v>0.14312134015873637</v>
      </c>
      <c r="Z259" s="21">
        <f t="shared" si="68"/>
        <v>0.25413326820554749</v>
      </c>
      <c r="AA259" s="21">
        <f t="shared" si="69"/>
        <v>0.41159999999999997</v>
      </c>
      <c r="AB259" s="21">
        <f t="shared" si="70"/>
        <v>0.49810120568287308</v>
      </c>
    </row>
    <row r="260" spans="1:28" ht="16" customHeight="1" x14ac:dyDescent="0.2">
      <c r="A260" t="s">
        <v>498</v>
      </c>
      <c r="B260" t="s">
        <v>499</v>
      </c>
      <c r="C260" t="s">
        <v>562</v>
      </c>
      <c r="D260" t="s">
        <v>563</v>
      </c>
      <c r="E260" t="s">
        <v>502</v>
      </c>
      <c r="F260" t="s">
        <v>33</v>
      </c>
      <c r="G260" t="s">
        <v>503</v>
      </c>
      <c r="H260" s="15">
        <v>9.14</v>
      </c>
      <c r="I260" s="15">
        <f t="shared" si="59"/>
        <v>5.0390538042661683</v>
      </c>
      <c r="J260" s="17">
        <v>0.56899999999999995</v>
      </c>
      <c r="K260" s="17">
        <v>248000</v>
      </c>
      <c r="L260" s="11" t="s">
        <v>35</v>
      </c>
      <c r="M260" s="11" t="s">
        <v>35</v>
      </c>
      <c r="N260" s="14">
        <v>65</v>
      </c>
      <c r="O260" s="11">
        <v>249.11</v>
      </c>
      <c r="P260" s="13">
        <v>11.647</v>
      </c>
      <c r="Q260" s="11">
        <f t="shared" si="60"/>
        <v>145.58750000000001</v>
      </c>
      <c r="R260" s="20">
        <f t="shared" si="61"/>
        <v>58.443057283930791</v>
      </c>
      <c r="S260" s="20">
        <f t="shared" si="62"/>
        <v>0.58443057283930788</v>
      </c>
      <c r="T260" s="15">
        <f t="shared" si="63"/>
        <v>5.3416954357512747</v>
      </c>
      <c r="U260" s="15">
        <f t="shared" si="64"/>
        <v>5.2723208775170667</v>
      </c>
      <c r="V260" s="21">
        <v>0.109</v>
      </c>
      <c r="W260" s="20">
        <f t="shared" si="65"/>
        <v>4.5648166909933892</v>
      </c>
      <c r="X260" s="20">
        <f t="shared" si="66"/>
        <v>31.74</v>
      </c>
      <c r="Y260" s="21">
        <f t="shared" si="67"/>
        <v>0.13926336028822428</v>
      </c>
      <c r="Z260" s="21">
        <f t="shared" si="68"/>
        <v>0.17684819342805785</v>
      </c>
      <c r="AA260" s="21">
        <f t="shared" si="69"/>
        <v>0.21364</v>
      </c>
      <c r="AB260" s="21">
        <f t="shared" si="70"/>
        <v>0.34662245911899336</v>
      </c>
    </row>
    <row r="261" spans="1:28" ht="16" customHeight="1" x14ac:dyDescent="0.2">
      <c r="A261" t="s">
        <v>498</v>
      </c>
      <c r="B261" t="s">
        <v>499</v>
      </c>
      <c r="C261" t="s">
        <v>564</v>
      </c>
      <c r="D261" t="s">
        <v>565</v>
      </c>
      <c r="E261" t="s">
        <v>502</v>
      </c>
      <c r="F261" t="s">
        <v>38</v>
      </c>
      <c r="G261" t="s">
        <v>503</v>
      </c>
      <c r="H261" s="15">
        <v>155</v>
      </c>
      <c r="I261" s="15">
        <f t="shared" si="59"/>
        <v>3.8096683018297086</v>
      </c>
      <c r="J261" s="17">
        <v>1.32</v>
      </c>
      <c r="K261" s="17">
        <v>473000</v>
      </c>
      <c r="L261" s="11" t="s">
        <v>35</v>
      </c>
      <c r="M261" s="11" t="s">
        <v>35</v>
      </c>
      <c r="N261" s="14">
        <v>65</v>
      </c>
      <c r="O261" s="11">
        <v>250.83</v>
      </c>
      <c r="P261" s="13">
        <v>2.5619999999999998</v>
      </c>
      <c r="Q261" s="11">
        <f t="shared" si="60"/>
        <v>32.024999999999999</v>
      </c>
      <c r="R261" s="20">
        <f t="shared" si="61"/>
        <v>12.767611529721323</v>
      </c>
      <c r="S261" s="20">
        <f t="shared" si="62"/>
        <v>0.12767611529721323</v>
      </c>
      <c r="T261" s="15">
        <f t="shared" si="63"/>
        <v>19.78979787106805</v>
      </c>
      <c r="U261" s="15">
        <f t="shared" si="64"/>
        <v>4.7035586415656141</v>
      </c>
      <c r="V261" s="21">
        <v>0.186</v>
      </c>
      <c r="W261" s="20">
        <f t="shared" si="65"/>
        <v>17.702310694769711</v>
      </c>
      <c r="X261" s="20">
        <f t="shared" si="66"/>
        <v>31.74</v>
      </c>
      <c r="Y261" s="21">
        <f t="shared" si="67"/>
        <v>0.15783479242168047</v>
      </c>
      <c r="Z261" s="21">
        <f t="shared" si="68"/>
        <v>0.24394225074552986</v>
      </c>
      <c r="AA261" s="21">
        <f t="shared" si="69"/>
        <v>0.36456</v>
      </c>
      <c r="AB261" s="21">
        <f t="shared" si="70"/>
        <v>0.47812681146123853</v>
      </c>
    </row>
    <row r="262" spans="1:28" ht="16" customHeight="1" x14ac:dyDescent="0.2">
      <c r="A262" t="s">
        <v>498</v>
      </c>
      <c r="B262" t="s">
        <v>499</v>
      </c>
      <c r="C262" t="s">
        <v>566</v>
      </c>
      <c r="D262" t="s">
        <v>567</v>
      </c>
      <c r="E262" t="s">
        <v>502</v>
      </c>
      <c r="F262" t="s">
        <v>38</v>
      </c>
      <c r="G262" t="s">
        <v>503</v>
      </c>
      <c r="H262" s="15">
        <v>82.6</v>
      </c>
      <c r="I262" s="15">
        <f t="shared" si="59"/>
        <v>4.083019952679618</v>
      </c>
      <c r="J262" s="17">
        <v>1.39</v>
      </c>
      <c r="K262" s="17">
        <v>539000</v>
      </c>
      <c r="L262" s="11" t="s">
        <v>35</v>
      </c>
      <c r="M262" s="11" t="s">
        <v>81</v>
      </c>
      <c r="N262" s="14">
        <v>65</v>
      </c>
      <c r="O262" s="11">
        <v>249.8</v>
      </c>
      <c r="P262" s="23" t="s">
        <v>82</v>
      </c>
      <c r="Q262" s="11" t="str">
        <f t="shared" si="60"/>
        <v>-</v>
      </c>
      <c r="R262" s="24" t="str">
        <f t="shared" si="61"/>
        <v>-</v>
      </c>
      <c r="S262" s="20" t="str">
        <f t="shared" si="62"/>
        <v>-</v>
      </c>
      <c r="T262" s="15" t="str">
        <f t="shared" si="63"/>
        <v>-</v>
      </c>
      <c r="U262" s="15" t="str">
        <f t="shared" si="64"/>
        <v>-</v>
      </c>
      <c r="V262" s="21">
        <v>0.188</v>
      </c>
      <c r="W262" s="20" t="str">
        <f t="shared" si="65"/>
        <v>-</v>
      </c>
      <c r="X262" s="20" t="str">
        <f t="shared" si="66"/>
        <v>-</v>
      </c>
      <c r="Y262" s="21" t="str">
        <f t="shared" si="67"/>
        <v>-</v>
      </c>
      <c r="Z262" s="21" t="str">
        <f t="shared" si="68"/>
        <v>-</v>
      </c>
      <c r="AA262" s="21">
        <f t="shared" si="69"/>
        <v>0.36847999999999997</v>
      </c>
      <c r="AB262" s="21" t="str">
        <f t="shared" si="70"/>
        <v>-</v>
      </c>
    </row>
    <row r="263" spans="1:28" ht="16" customHeight="1" x14ac:dyDescent="0.2">
      <c r="A263" t="s">
        <v>498</v>
      </c>
      <c r="B263" t="s">
        <v>499</v>
      </c>
      <c r="C263" t="s">
        <v>568</v>
      </c>
      <c r="D263" t="s">
        <v>569</v>
      </c>
      <c r="E263" t="s">
        <v>502</v>
      </c>
      <c r="F263" t="s">
        <v>33</v>
      </c>
      <c r="G263" t="s">
        <v>503</v>
      </c>
      <c r="H263" s="15">
        <v>4.4000000000000004</v>
      </c>
      <c r="I263" s="15">
        <f t="shared" si="59"/>
        <v>5.3565473235138121</v>
      </c>
      <c r="J263" s="17">
        <v>0.94899999999999995</v>
      </c>
      <c r="K263" s="17">
        <v>346000</v>
      </c>
      <c r="L263" s="11" t="s">
        <v>35</v>
      </c>
      <c r="M263" s="11" t="s">
        <v>35</v>
      </c>
      <c r="N263" s="14">
        <v>65</v>
      </c>
      <c r="O263" s="11">
        <v>250.68</v>
      </c>
      <c r="P263" s="13">
        <v>6.1509999999999998</v>
      </c>
      <c r="Q263" s="11">
        <f t="shared" si="60"/>
        <v>76.887500000000003</v>
      </c>
      <c r="R263" s="20">
        <f t="shared" si="61"/>
        <v>30.671573320568058</v>
      </c>
      <c r="S263" s="20">
        <f t="shared" si="62"/>
        <v>0.30671573320568057</v>
      </c>
      <c r="T263" s="15">
        <f t="shared" si="63"/>
        <v>1.3495492261049946</v>
      </c>
      <c r="U263" s="15">
        <f t="shared" si="64"/>
        <v>5.8698112695099418</v>
      </c>
      <c r="V263" s="21">
        <v>8.2699999999999996E-2</v>
      </c>
      <c r="W263" s="20">
        <f t="shared" si="65"/>
        <v>7.8751194927654042</v>
      </c>
      <c r="X263" s="20">
        <f t="shared" si="66"/>
        <v>31.74</v>
      </c>
      <c r="Y263" s="21">
        <f t="shared" si="67"/>
        <v>0.14202459522801505</v>
      </c>
      <c r="Z263" s="21">
        <f t="shared" si="68"/>
        <v>0.16434803208338553</v>
      </c>
      <c r="AA263" s="21">
        <f t="shared" si="69"/>
        <v>0.16209199999999999</v>
      </c>
      <c r="AB263" s="21">
        <f t="shared" si="70"/>
        <v>0.3221221428834356</v>
      </c>
    </row>
    <row r="264" spans="1:28" ht="16" customHeight="1" x14ac:dyDescent="0.2">
      <c r="A264" t="s">
        <v>498</v>
      </c>
      <c r="B264" t="s">
        <v>499</v>
      </c>
      <c r="C264" t="s">
        <v>570</v>
      </c>
      <c r="D264" t="s">
        <v>571</v>
      </c>
      <c r="E264" t="s">
        <v>502</v>
      </c>
      <c r="F264" t="s">
        <v>38</v>
      </c>
      <c r="G264" t="s">
        <v>503</v>
      </c>
      <c r="H264" s="15">
        <v>578</v>
      </c>
      <c r="I264" s="15">
        <f t="shared" si="59"/>
        <v>3.238072161579471</v>
      </c>
      <c r="J264" s="17">
        <v>1.28</v>
      </c>
      <c r="K264" s="17">
        <v>505000</v>
      </c>
      <c r="L264" s="11" t="s">
        <v>35</v>
      </c>
      <c r="M264" s="11" t="s">
        <v>81</v>
      </c>
      <c r="N264" s="14">
        <v>65</v>
      </c>
      <c r="O264" s="11">
        <v>249.66</v>
      </c>
      <c r="P264" s="23" t="s">
        <v>82</v>
      </c>
      <c r="Q264" s="11" t="str">
        <f t="shared" si="60"/>
        <v>-</v>
      </c>
      <c r="R264" s="24" t="str">
        <f t="shared" si="61"/>
        <v>-</v>
      </c>
      <c r="S264" s="20" t="str">
        <f t="shared" si="62"/>
        <v>-</v>
      </c>
      <c r="T264" s="15" t="str">
        <f t="shared" si="63"/>
        <v>-</v>
      </c>
      <c r="U264" s="15" t="str">
        <f t="shared" si="64"/>
        <v>-</v>
      </c>
      <c r="V264" s="21">
        <v>0.307</v>
      </c>
      <c r="W264" s="20" t="str">
        <f t="shared" si="65"/>
        <v>-</v>
      </c>
      <c r="X264" s="20" t="str">
        <f t="shared" si="66"/>
        <v>-</v>
      </c>
      <c r="Y264" s="21" t="str">
        <f t="shared" si="67"/>
        <v>-</v>
      </c>
      <c r="Z264" s="21" t="str">
        <f t="shared" si="68"/>
        <v>-</v>
      </c>
      <c r="AA264" s="21">
        <f t="shared" si="69"/>
        <v>0.60172000000000003</v>
      </c>
      <c r="AB264" s="21" t="str">
        <f t="shared" si="70"/>
        <v>-</v>
      </c>
    </row>
    <row r="265" spans="1:28" ht="16" customHeight="1" x14ac:dyDescent="0.2">
      <c r="A265" t="s">
        <v>498</v>
      </c>
      <c r="B265" t="s">
        <v>499</v>
      </c>
      <c r="C265" t="s">
        <v>572</v>
      </c>
      <c r="D265" t="s">
        <v>573</v>
      </c>
      <c r="E265" t="s">
        <v>502</v>
      </c>
      <c r="F265" t="s">
        <v>33</v>
      </c>
      <c r="G265" t="s">
        <v>503</v>
      </c>
      <c r="H265" s="15">
        <v>12.2</v>
      </c>
      <c r="I265" s="15">
        <f t="shared" si="59"/>
        <v>4.9136401693252516</v>
      </c>
      <c r="J265" s="17">
        <v>1.05</v>
      </c>
      <c r="K265" s="17">
        <v>394000</v>
      </c>
      <c r="L265" s="11" t="s">
        <v>35</v>
      </c>
      <c r="M265" s="11" t="s">
        <v>35</v>
      </c>
      <c r="N265" s="14">
        <v>65</v>
      </c>
      <c r="O265" s="11">
        <v>249.85</v>
      </c>
      <c r="P265" s="13">
        <v>5.3979999999999997</v>
      </c>
      <c r="Q265" s="11">
        <f t="shared" si="60"/>
        <v>67.474999999999994</v>
      </c>
      <c r="R265" s="20">
        <f t="shared" si="61"/>
        <v>27.006203722233341</v>
      </c>
      <c r="S265" s="20">
        <f t="shared" si="62"/>
        <v>0.27006203722233341</v>
      </c>
      <c r="T265" s="15">
        <f t="shared" si="63"/>
        <v>3.2947568541124674</v>
      </c>
      <c r="U265" s="15">
        <f t="shared" si="64"/>
        <v>5.482176629875303</v>
      </c>
      <c r="V265" s="21">
        <v>7.7200000000000005E-2</v>
      </c>
      <c r="W265" s="20">
        <f t="shared" si="65"/>
        <v>8.8537013708781025</v>
      </c>
      <c r="X265" s="20">
        <f t="shared" si="66"/>
        <v>31.74</v>
      </c>
      <c r="Y265" s="21">
        <f t="shared" si="67"/>
        <v>0.14310748695723474</v>
      </c>
      <c r="Z265" s="21">
        <f t="shared" si="68"/>
        <v>0.16260256093682876</v>
      </c>
      <c r="AA265" s="21">
        <f t="shared" si="69"/>
        <v>0.151312</v>
      </c>
      <c r="AB265" s="21">
        <f t="shared" si="70"/>
        <v>0.31870101943618434</v>
      </c>
    </row>
    <row r="266" spans="1:28" ht="16" customHeight="1" x14ac:dyDescent="0.2">
      <c r="A266" t="s">
        <v>498</v>
      </c>
      <c r="B266" t="s">
        <v>499</v>
      </c>
      <c r="C266" t="s">
        <v>574</v>
      </c>
      <c r="D266" t="s">
        <v>575</v>
      </c>
      <c r="E266" t="s">
        <v>502</v>
      </c>
      <c r="F266" t="s">
        <v>38</v>
      </c>
      <c r="G266" t="s">
        <v>503</v>
      </c>
      <c r="H266" s="15">
        <v>16800</v>
      </c>
      <c r="I266" s="15">
        <f t="shared" si="59"/>
        <v>1.7746907182741372</v>
      </c>
      <c r="J266" s="17">
        <v>1.27</v>
      </c>
      <c r="K266" s="17">
        <v>458000</v>
      </c>
      <c r="L266" s="11" t="s">
        <v>35</v>
      </c>
      <c r="M266" s="11" t="s">
        <v>81</v>
      </c>
      <c r="N266" s="14">
        <v>65</v>
      </c>
      <c r="O266" s="11">
        <v>249.24</v>
      </c>
      <c r="P266" s="23" t="s">
        <v>82</v>
      </c>
      <c r="Q266" s="11" t="str">
        <f t="shared" si="60"/>
        <v>-</v>
      </c>
      <c r="R266" s="24" t="str">
        <f t="shared" si="61"/>
        <v>-</v>
      </c>
      <c r="S266" s="20" t="str">
        <f t="shared" si="62"/>
        <v>-</v>
      </c>
      <c r="T266" s="15" t="str">
        <f t="shared" si="63"/>
        <v>-</v>
      </c>
      <c r="U266" s="15" t="str">
        <f t="shared" si="64"/>
        <v>-</v>
      </c>
      <c r="V266" s="21">
        <v>0.54500000000000004</v>
      </c>
      <c r="W266" s="20" t="str">
        <f t="shared" si="65"/>
        <v>-</v>
      </c>
      <c r="X266" s="20" t="str">
        <f t="shared" si="66"/>
        <v>-</v>
      </c>
      <c r="Y266" s="21" t="str">
        <f t="shared" si="67"/>
        <v>-</v>
      </c>
      <c r="Z266" s="21" t="str">
        <f t="shared" si="68"/>
        <v>-</v>
      </c>
      <c r="AA266" s="21">
        <f t="shared" si="69"/>
        <v>1.0682</v>
      </c>
      <c r="AB266" s="21" t="str">
        <f t="shared" si="70"/>
        <v>-</v>
      </c>
    </row>
    <row r="267" spans="1:28" ht="16" customHeight="1" x14ac:dyDescent="0.2">
      <c r="A267" t="s">
        <v>498</v>
      </c>
      <c r="B267" t="s">
        <v>499</v>
      </c>
      <c r="C267" t="s">
        <v>576</v>
      </c>
      <c r="D267" t="s">
        <v>577</v>
      </c>
      <c r="E267" t="s">
        <v>502</v>
      </c>
      <c r="F267" t="s">
        <v>38</v>
      </c>
      <c r="G267" t="s">
        <v>503</v>
      </c>
      <c r="H267" s="15">
        <v>283</v>
      </c>
      <c r="I267" s="15">
        <f t="shared" si="59"/>
        <v>3.5482135644757098</v>
      </c>
      <c r="J267" s="17">
        <v>1.25</v>
      </c>
      <c r="K267" s="17">
        <v>435000</v>
      </c>
      <c r="L267" s="11" t="s">
        <v>35</v>
      </c>
      <c r="M267" s="11" t="s">
        <v>81</v>
      </c>
      <c r="N267" s="14">
        <v>65</v>
      </c>
      <c r="O267" s="11">
        <v>250.42</v>
      </c>
      <c r="P267" s="23" t="s">
        <v>82</v>
      </c>
      <c r="Q267" s="11" t="str">
        <f t="shared" si="60"/>
        <v>-</v>
      </c>
      <c r="R267" s="24" t="str">
        <f t="shared" si="61"/>
        <v>-</v>
      </c>
      <c r="S267" s="20" t="str">
        <f t="shared" si="62"/>
        <v>-</v>
      </c>
      <c r="T267" s="15" t="str">
        <f t="shared" si="63"/>
        <v>-</v>
      </c>
      <c r="U267" s="15" t="str">
        <f t="shared" si="64"/>
        <v>-</v>
      </c>
      <c r="V267" s="21">
        <v>0.247</v>
      </c>
      <c r="W267" s="20" t="str">
        <f t="shared" si="65"/>
        <v>-</v>
      </c>
      <c r="X267" s="20" t="str">
        <f t="shared" si="66"/>
        <v>-</v>
      </c>
      <c r="Y267" s="21" t="str">
        <f t="shared" si="67"/>
        <v>-</v>
      </c>
      <c r="Z267" s="21" t="str">
        <f t="shared" si="68"/>
        <v>-</v>
      </c>
      <c r="AA267" s="21">
        <f t="shared" si="69"/>
        <v>0.48411999999999999</v>
      </c>
      <c r="AB267" s="21" t="str">
        <f t="shared" si="70"/>
        <v>-</v>
      </c>
    </row>
    <row r="268" spans="1:28" ht="16" customHeight="1" x14ac:dyDescent="0.2">
      <c r="A268" t="s">
        <v>498</v>
      </c>
      <c r="B268" t="s">
        <v>499</v>
      </c>
      <c r="C268" t="s">
        <v>578</v>
      </c>
      <c r="D268" t="s">
        <v>579</v>
      </c>
      <c r="E268" t="s">
        <v>502</v>
      </c>
      <c r="F268" t="s">
        <v>38</v>
      </c>
      <c r="G268" t="s">
        <v>503</v>
      </c>
      <c r="H268" s="15">
        <v>15900</v>
      </c>
      <c r="I268" s="15">
        <f t="shared" si="59"/>
        <v>1.7986028756795485</v>
      </c>
      <c r="J268" s="17">
        <v>1.28</v>
      </c>
      <c r="K268" s="17">
        <v>462000</v>
      </c>
      <c r="L268" s="11" t="s">
        <v>35</v>
      </c>
      <c r="M268" s="11" t="s">
        <v>81</v>
      </c>
      <c r="N268" s="14">
        <v>65</v>
      </c>
      <c r="O268" s="11">
        <v>249.45</v>
      </c>
      <c r="P268" s="23" t="s">
        <v>82</v>
      </c>
      <c r="Q268" s="11" t="str">
        <f t="shared" si="60"/>
        <v>-</v>
      </c>
      <c r="R268" s="24" t="str">
        <f t="shared" si="61"/>
        <v>-</v>
      </c>
      <c r="S268" s="20" t="str">
        <f t="shared" si="62"/>
        <v>-</v>
      </c>
      <c r="T268" s="15" t="str">
        <f t="shared" si="63"/>
        <v>-</v>
      </c>
      <c r="U268" s="15" t="str">
        <f t="shared" si="64"/>
        <v>-</v>
      </c>
      <c r="V268" s="21">
        <v>0.57199999999999995</v>
      </c>
      <c r="W268" s="20" t="str">
        <f t="shared" si="65"/>
        <v>-</v>
      </c>
      <c r="X268" s="20" t="str">
        <f t="shared" si="66"/>
        <v>-</v>
      </c>
      <c r="Y268" s="21" t="str">
        <f t="shared" si="67"/>
        <v>-</v>
      </c>
      <c r="Z268" s="21" t="str">
        <f t="shared" si="68"/>
        <v>-</v>
      </c>
      <c r="AA268" s="21">
        <f t="shared" si="69"/>
        <v>1.1211199999999999</v>
      </c>
      <c r="AB268" s="21" t="str">
        <f t="shared" si="70"/>
        <v>-</v>
      </c>
    </row>
    <row r="269" spans="1:28" ht="16" customHeight="1" x14ac:dyDescent="0.2">
      <c r="A269" t="s">
        <v>498</v>
      </c>
      <c r="B269" t="s">
        <v>499</v>
      </c>
      <c r="C269" t="s">
        <v>580</v>
      </c>
      <c r="D269" t="s">
        <v>581</v>
      </c>
      <c r="E269" t="s">
        <v>502</v>
      </c>
      <c r="F269" t="s">
        <v>38</v>
      </c>
      <c r="G269" t="s">
        <v>503</v>
      </c>
      <c r="H269" s="15">
        <v>99.9</v>
      </c>
      <c r="I269" s="15">
        <f t="shared" si="59"/>
        <v>4.0004345117740181</v>
      </c>
      <c r="J269" s="17">
        <v>0.55200000000000005</v>
      </c>
      <c r="K269" s="17">
        <v>243000</v>
      </c>
      <c r="L269" s="11" t="s">
        <v>35</v>
      </c>
      <c r="M269" s="11" t="s">
        <v>35</v>
      </c>
      <c r="N269" s="14">
        <v>65</v>
      </c>
      <c r="O269" s="11">
        <v>249.38</v>
      </c>
      <c r="P269" s="13">
        <v>27.849</v>
      </c>
      <c r="Q269" s="11">
        <f t="shared" si="60"/>
        <v>348.11250000000001</v>
      </c>
      <c r="R269" s="20">
        <f t="shared" si="61"/>
        <v>139.59118614163125</v>
      </c>
      <c r="S269" s="20">
        <f t="shared" si="62"/>
        <v>1.3959118614163126</v>
      </c>
      <c r="T269" s="15">
        <f t="shared" si="63"/>
        <v>139.45159495548964</v>
      </c>
      <c r="U269" s="15">
        <f t="shared" si="64"/>
        <v>3.8555765141953011</v>
      </c>
      <c r="V269" s="21">
        <v>0.13900000000000001</v>
      </c>
      <c r="W269" s="20">
        <f t="shared" si="65"/>
        <v>2.4094272684836078</v>
      </c>
      <c r="X269" s="20">
        <f t="shared" si="66"/>
        <v>31.74</v>
      </c>
      <c r="Y269" s="21">
        <f t="shared" si="67"/>
        <v>0.13824166674219401</v>
      </c>
      <c r="Z269" s="21">
        <f t="shared" si="68"/>
        <v>0.19604019593863867</v>
      </c>
      <c r="AA269" s="21">
        <f t="shared" si="69"/>
        <v>0.27244000000000002</v>
      </c>
      <c r="AB269" s="21">
        <f t="shared" si="70"/>
        <v>0.38423878403973177</v>
      </c>
    </row>
    <row r="270" spans="1:28" ht="16" customHeight="1" x14ac:dyDescent="0.2">
      <c r="A270" t="s">
        <v>498</v>
      </c>
      <c r="B270" t="s">
        <v>499</v>
      </c>
      <c r="C270" t="s">
        <v>582</v>
      </c>
      <c r="D270" t="s">
        <v>583</v>
      </c>
      <c r="E270" t="s">
        <v>502</v>
      </c>
      <c r="F270" t="s">
        <v>38</v>
      </c>
      <c r="G270" t="s">
        <v>503</v>
      </c>
      <c r="H270" s="15">
        <v>5.05</v>
      </c>
      <c r="I270" s="15">
        <f t="shared" si="59"/>
        <v>5.2967086218813391</v>
      </c>
      <c r="J270" s="17">
        <v>1.1299999999999999</v>
      </c>
      <c r="K270" s="17">
        <v>398000</v>
      </c>
      <c r="L270" s="11" t="s">
        <v>35</v>
      </c>
      <c r="M270" s="11" t="s">
        <v>35</v>
      </c>
      <c r="N270" s="14">
        <v>65</v>
      </c>
      <c r="O270" s="11">
        <v>249.74</v>
      </c>
      <c r="P270" s="13">
        <v>23.640999999999998</v>
      </c>
      <c r="Q270" s="11">
        <f t="shared" si="60"/>
        <v>295.51249999999999</v>
      </c>
      <c r="R270" s="20">
        <f t="shared" si="61"/>
        <v>118.32806118363098</v>
      </c>
      <c r="S270" s="20">
        <f t="shared" si="62"/>
        <v>1.1832806118363097</v>
      </c>
      <c r="T270" s="15">
        <f t="shared" si="63"/>
        <v>5.9755670897733637</v>
      </c>
      <c r="U270" s="15">
        <f t="shared" si="64"/>
        <v>5.223620873263072</v>
      </c>
      <c r="V270" s="21">
        <v>0.182</v>
      </c>
      <c r="W270" s="20">
        <f t="shared" si="65"/>
        <v>2.685218899369739</v>
      </c>
      <c r="X270" s="20">
        <f t="shared" si="66"/>
        <v>31.74</v>
      </c>
      <c r="Y270" s="21">
        <f t="shared" si="67"/>
        <v>0.13833748412265376</v>
      </c>
      <c r="Z270" s="21">
        <f t="shared" si="68"/>
        <v>0.22860721666952136</v>
      </c>
      <c r="AA270" s="21">
        <f t="shared" si="69"/>
        <v>0.35671999999999998</v>
      </c>
      <c r="AB270" s="21">
        <f t="shared" si="70"/>
        <v>0.44807014467226186</v>
      </c>
    </row>
    <row r="271" spans="1:28" ht="16" customHeight="1" x14ac:dyDescent="0.2">
      <c r="A271" t="s">
        <v>498</v>
      </c>
      <c r="B271" t="s">
        <v>499</v>
      </c>
      <c r="C271" t="s">
        <v>584</v>
      </c>
      <c r="D271" t="s">
        <v>585</v>
      </c>
      <c r="E271" t="s">
        <v>502</v>
      </c>
      <c r="F271" t="s">
        <v>38</v>
      </c>
      <c r="G271" t="s">
        <v>503</v>
      </c>
      <c r="H271" s="15">
        <v>4300</v>
      </c>
      <c r="I271" s="15">
        <f t="shared" si="59"/>
        <v>2.3665315444204134</v>
      </c>
      <c r="J271" s="17">
        <v>1.29</v>
      </c>
      <c r="K271" s="17">
        <v>446000</v>
      </c>
      <c r="L271" s="11" t="s">
        <v>35</v>
      </c>
      <c r="M271" s="11" t="s">
        <v>81</v>
      </c>
      <c r="N271" s="14">
        <v>65</v>
      </c>
      <c r="O271" s="11">
        <v>249.5</v>
      </c>
      <c r="P271" s="23" t="s">
        <v>82</v>
      </c>
      <c r="Q271" s="11" t="str">
        <f t="shared" si="60"/>
        <v>-</v>
      </c>
      <c r="R271" s="24" t="str">
        <f t="shared" si="61"/>
        <v>-</v>
      </c>
      <c r="S271" s="20" t="str">
        <f t="shared" si="62"/>
        <v>-</v>
      </c>
      <c r="T271" s="15" t="str">
        <f t="shared" si="63"/>
        <v>-</v>
      </c>
      <c r="U271" s="15" t="str">
        <f t="shared" si="64"/>
        <v>-</v>
      </c>
      <c r="V271" s="21">
        <v>0.61899999999999999</v>
      </c>
      <c r="W271" s="20" t="str">
        <f t="shared" si="65"/>
        <v>-</v>
      </c>
      <c r="X271" s="20" t="str">
        <f t="shared" si="66"/>
        <v>-</v>
      </c>
      <c r="Y271" s="21" t="str">
        <f t="shared" si="67"/>
        <v>-</v>
      </c>
      <c r="Z271" s="21" t="str">
        <f t="shared" si="68"/>
        <v>-</v>
      </c>
      <c r="AA271" s="21">
        <f t="shared" si="69"/>
        <v>1.2132399999999999</v>
      </c>
      <c r="AB271" s="21" t="str">
        <f t="shared" si="70"/>
        <v>-</v>
      </c>
    </row>
    <row r="272" spans="1:28" ht="16" customHeight="1" x14ac:dyDescent="0.2">
      <c r="A272" t="s">
        <v>498</v>
      </c>
      <c r="B272" t="s">
        <v>499</v>
      </c>
      <c r="C272" t="s">
        <v>586</v>
      </c>
      <c r="D272" t="s">
        <v>587</v>
      </c>
      <c r="E272" t="s">
        <v>502</v>
      </c>
      <c r="F272" t="s">
        <v>33</v>
      </c>
      <c r="G272" t="s">
        <v>503</v>
      </c>
      <c r="H272" s="15">
        <v>10.7</v>
      </c>
      <c r="I272" s="15">
        <f t="shared" si="59"/>
        <v>4.9706162223147903</v>
      </c>
      <c r="J272" s="17">
        <v>0.59699999999999998</v>
      </c>
      <c r="K272" s="17">
        <v>245000</v>
      </c>
      <c r="L272" s="11" t="s">
        <v>247</v>
      </c>
      <c r="M272" s="11" t="s">
        <v>247</v>
      </c>
      <c r="N272" s="14">
        <v>20</v>
      </c>
      <c r="O272" s="11">
        <v>498.58</v>
      </c>
      <c r="P272" s="13">
        <v>9.67</v>
      </c>
      <c r="Q272" s="11">
        <f t="shared" si="60"/>
        <v>120.875</v>
      </c>
      <c r="R272" s="20">
        <f t="shared" si="61"/>
        <v>24.243852541217056</v>
      </c>
      <c r="S272" s="20">
        <f t="shared" si="62"/>
        <v>0.24243852541217056</v>
      </c>
      <c r="T272" s="15">
        <f t="shared" si="63"/>
        <v>2.5940922219102247</v>
      </c>
      <c r="U272" s="15">
        <f t="shared" si="64"/>
        <v>5.586014588485253</v>
      </c>
      <c r="V272" s="21">
        <v>0.10100000000000001</v>
      </c>
      <c r="W272" s="20">
        <f t="shared" si="65"/>
        <v>5.3222543950361949</v>
      </c>
      <c r="X272" s="20">
        <f t="shared" si="66"/>
        <v>31.74</v>
      </c>
      <c r="Y272" s="21">
        <f t="shared" si="67"/>
        <v>0.13976956681929353</v>
      </c>
      <c r="Z272" s="21">
        <f t="shared" si="68"/>
        <v>0.17244283635121802</v>
      </c>
      <c r="AA272" s="21">
        <f t="shared" si="69"/>
        <v>0.19796</v>
      </c>
      <c r="AB272" s="21">
        <f t="shared" si="70"/>
        <v>0.33798795924838732</v>
      </c>
    </row>
    <row r="273" spans="1:28" ht="16" customHeight="1" x14ac:dyDescent="0.2">
      <c r="A273" t="s">
        <v>498</v>
      </c>
      <c r="B273" t="s">
        <v>499</v>
      </c>
      <c r="C273" t="s">
        <v>588</v>
      </c>
      <c r="D273" t="s">
        <v>589</v>
      </c>
      <c r="E273" t="s">
        <v>502</v>
      </c>
      <c r="F273" t="s">
        <v>38</v>
      </c>
      <c r="G273" t="s">
        <v>503</v>
      </c>
      <c r="H273" s="15">
        <v>1450</v>
      </c>
      <c r="I273" s="15">
        <f t="shared" si="59"/>
        <v>2.8386319977650252</v>
      </c>
      <c r="J273" s="17">
        <v>1.25</v>
      </c>
      <c r="K273" s="17">
        <v>433000</v>
      </c>
      <c r="L273" s="11" t="s">
        <v>35</v>
      </c>
      <c r="M273" s="11" t="s">
        <v>81</v>
      </c>
      <c r="N273" s="14">
        <v>65</v>
      </c>
      <c r="O273" s="11">
        <v>250.45</v>
      </c>
      <c r="P273" s="23" t="s">
        <v>82</v>
      </c>
      <c r="Q273" s="11" t="str">
        <f t="shared" si="60"/>
        <v>-</v>
      </c>
      <c r="R273" s="24" t="str">
        <f t="shared" si="61"/>
        <v>-</v>
      </c>
      <c r="S273" s="20" t="str">
        <f t="shared" si="62"/>
        <v>-</v>
      </c>
      <c r="T273" s="15" t="str">
        <f t="shared" si="63"/>
        <v>-</v>
      </c>
      <c r="U273" s="15" t="str">
        <f t="shared" si="64"/>
        <v>-</v>
      </c>
      <c r="V273" s="21">
        <v>0.35399999999999998</v>
      </c>
      <c r="W273" s="20" t="str">
        <f t="shared" si="65"/>
        <v>-</v>
      </c>
      <c r="X273" s="20" t="str">
        <f t="shared" si="66"/>
        <v>-</v>
      </c>
      <c r="Y273" s="21" t="str">
        <f t="shared" si="67"/>
        <v>-</v>
      </c>
      <c r="Z273" s="21" t="str">
        <f t="shared" si="68"/>
        <v>-</v>
      </c>
      <c r="AA273" s="21">
        <f t="shared" si="69"/>
        <v>0.6938399999999999</v>
      </c>
      <c r="AB273" s="21" t="str">
        <f t="shared" si="70"/>
        <v>-</v>
      </c>
    </row>
    <row r="274" spans="1:28" ht="16" customHeight="1" x14ac:dyDescent="0.2">
      <c r="A274" t="s">
        <v>498</v>
      </c>
      <c r="B274" t="s">
        <v>499</v>
      </c>
      <c r="C274" t="s">
        <v>590</v>
      </c>
      <c r="D274" t="s">
        <v>591</v>
      </c>
      <c r="E274" t="s">
        <v>502</v>
      </c>
      <c r="F274" t="s">
        <v>38</v>
      </c>
      <c r="G274" t="s">
        <v>503</v>
      </c>
      <c r="H274" s="15">
        <v>9070</v>
      </c>
      <c r="I274" s="15">
        <f t="shared" si="59"/>
        <v>2.0423927129399049</v>
      </c>
      <c r="J274" s="17">
        <v>1.31</v>
      </c>
      <c r="K274" s="17">
        <v>471000</v>
      </c>
      <c r="L274" s="11" t="s">
        <v>35</v>
      </c>
      <c r="M274" s="11" t="s">
        <v>81</v>
      </c>
      <c r="N274" s="14">
        <v>65</v>
      </c>
      <c r="O274" s="11">
        <v>249.3</v>
      </c>
      <c r="P274" s="23" t="s">
        <v>82</v>
      </c>
      <c r="Q274" s="11" t="str">
        <f t="shared" si="60"/>
        <v>-</v>
      </c>
      <c r="R274" s="24" t="str">
        <f t="shared" si="61"/>
        <v>-</v>
      </c>
      <c r="S274" s="20" t="str">
        <f t="shared" si="62"/>
        <v>-</v>
      </c>
      <c r="T274" s="15" t="str">
        <f t="shared" si="63"/>
        <v>-</v>
      </c>
      <c r="U274" s="15" t="str">
        <f t="shared" si="64"/>
        <v>-</v>
      </c>
      <c r="V274" s="21">
        <v>0.64800000000000002</v>
      </c>
      <c r="W274" s="20" t="str">
        <f t="shared" si="65"/>
        <v>-</v>
      </c>
      <c r="X274" s="20" t="str">
        <f t="shared" si="66"/>
        <v>-</v>
      </c>
      <c r="Y274" s="21" t="str">
        <f t="shared" si="67"/>
        <v>-</v>
      </c>
      <c r="Z274" s="21" t="str">
        <f t="shared" si="68"/>
        <v>-</v>
      </c>
      <c r="AA274" s="21">
        <f t="shared" si="69"/>
        <v>1.2700800000000001</v>
      </c>
      <c r="AB274" s="21" t="str">
        <f t="shared" si="70"/>
        <v>-</v>
      </c>
    </row>
    <row r="275" spans="1:28" ht="16" customHeight="1" x14ac:dyDescent="0.2">
      <c r="A275" t="s">
        <v>498</v>
      </c>
      <c r="B275" t="s">
        <v>499</v>
      </c>
      <c r="C275" t="s">
        <v>592</v>
      </c>
      <c r="D275" t="s">
        <v>593</v>
      </c>
      <c r="E275" t="s">
        <v>502</v>
      </c>
      <c r="F275" t="s">
        <v>33</v>
      </c>
      <c r="G275" t="s">
        <v>503</v>
      </c>
      <c r="H275" s="15">
        <v>7.49</v>
      </c>
      <c r="I275" s="15">
        <f t="shared" si="59"/>
        <v>5.1255181823005334</v>
      </c>
      <c r="J275" s="17">
        <v>0.53200000000000003</v>
      </c>
      <c r="K275" s="17">
        <v>226000</v>
      </c>
      <c r="L275" s="11" t="s">
        <v>35</v>
      </c>
      <c r="M275" s="11" t="s">
        <v>35</v>
      </c>
      <c r="N275" s="14">
        <v>65</v>
      </c>
      <c r="O275" s="11">
        <v>249.25</v>
      </c>
      <c r="P275" s="13">
        <v>17.21</v>
      </c>
      <c r="Q275" s="11">
        <f t="shared" si="60"/>
        <v>215.125</v>
      </c>
      <c r="R275" s="20">
        <f t="shared" si="61"/>
        <v>86.308926780341025</v>
      </c>
      <c r="S275" s="20">
        <f t="shared" si="62"/>
        <v>0.86308926780341022</v>
      </c>
      <c r="T275" s="15">
        <f t="shared" si="63"/>
        <v>6.4645386158475429</v>
      </c>
      <c r="U275" s="15">
        <f t="shared" si="64"/>
        <v>5.1894624659486102</v>
      </c>
      <c r="V275" s="21">
        <v>8.2500000000000004E-2</v>
      </c>
      <c r="W275" s="20">
        <f t="shared" si="65"/>
        <v>3.3672632190586866</v>
      </c>
      <c r="X275" s="20">
        <f t="shared" si="66"/>
        <v>31.74</v>
      </c>
      <c r="Y275" s="21">
        <f t="shared" si="67"/>
        <v>0.13861861192987543</v>
      </c>
      <c r="Z275" s="21">
        <f t="shared" si="68"/>
        <v>0.16131140558982618</v>
      </c>
      <c r="AA275" s="21">
        <f t="shared" si="69"/>
        <v>0.16170000000000001</v>
      </c>
      <c r="AB275" s="21">
        <f t="shared" si="70"/>
        <v>0.31617035495605933</v>
      </c>
    </row>
    <row r="276" spans="1:28" ht="16" customHeight="1" x14ac:dyDescent="0.2">
      <c r="A276" t="s">
        <v>498</v>
      </c>
      <c r="B276" t="s">
        <v>499</v>
      </c>
      <c r="C276" t="s">
        <v>594</v>
      </c>
      <c r="D276" t="s">
        <v>595</v>
      </c>
      <c r="E276" t="s">
        <v>502</v>
      </c>
      <c r="F276" t="s">
        <v>38</v>
      </c>
      <c r="G276" t="s">
        <v>503</v>
      </c>
      <c r="H276" s="15">
        <v>105</v>
      </c>
      <c r="I276" s="15">
        <f t="shared" si="59"/>
        <v>3.9788107009300622</v>
      </c>
      <c r="J276" s="17">
        <v>1.34</v>
      </c>
      <c r="K276" s="17">
        <v>479000</v>
      </c>
      <c r="L276" s="11" t="s">
        <v>35</v>
      </c>
      <c r="M276" s="11" t="s">
        <v>81</v>
      </c>
      <c r="N276" s="14">
        <v>65</v>
      </c>
      <c r="O276" s="11">
        <v>249.84</v>
      </c>
      <c r="P276" s="23" t="s">
        <v>82</v>
      </c>
      <c r="Q276" s="11" t="str">
        <f t="shared" si="60"/>
        <v>-</v>
      </c>
      <c r="R276" s="24" t="str">
        <f t="shared" si="61"/>
        <v>-</v>
      </c>
      <c r="S276" s="20" t="str">
        <f t="shared" si="62"/>
        <v>-</v>
      </c>
      <c r="T276" s="15" t="str">
        <f t="shared" si="63"/>
        <v>-</v>
      </c>
      <c r="U276" s="15" t="str">
        <f t="shared" si="64"/>
        <v>-</v>
      </c>
      <c r="V276" s="21">
        <v>0.11700000000000001</v>
      </c>
      <c r="W276" s="20" t="str">
        <f t="shared" si="65"/>
        <v>-</v>
      </c>
      <c r="X276" s="20" t="str">
        <f t="shared" si="66"/>
        <v>-</v>
      </c>
      <c r="Y276" s="21" t="str">
        <f t="shared" si="67"/>
        <v>-</v>
      </c>
      <c r="Z276" s="21" t="str">
        <f t="shared" si="68"/>
        <v>-</v>
      </c>
      <c r="AA276" s="21">
        <f t="shared" si="69"/>
        <v>0.22932</v>
      </c>
      <c r="AB276" s="21" t="str">
        <f t="shared" si="70"/>
        <v>-</v>
      </c>
    </row>
    <row r="277" spans="1:28" ht="16" customHeight="1" x14ac:dyDescent="0.2">
      <c r="A277" t="s">
        <v>498</v>
      </c>
      <c r="B277" t="s">
        <v>499</v>
      </c>
      <c r="C277" t="s">
        <v>596</v>
      </c>
      <c r="D277" t="s">
        <v>597</v>
      </c>
      <c r="E277" t="s">
        <v>502</v>
      </c>
      <c r="F277" t="s">
        <v>38</v>
      </c>
      <c r="G277" t="s">
        <v>503</v>
      </c>
      <c r="H277" s="15">
        <v>35.4</v>
      </c>
      <c r="I277" s="15">
        <f t="shared" si="59"/>
        <v>4.4509967379742124</v>
      </c>
      <c r="J277" s="17">
        <v>0.53</v>
      </c>
      <c r="K277" s="17">
        <v>258000</v>
      </c>
      <c r="L277" s="11" t="s">
        <v>35</v>
      </c>
      <c r="M277" s="11" t="s">
        <v>35</v>
      </c>
      <c r="N277" s="14">
        <v>65</v>
      </c>
      <c r="O277" s="11">
        <v>250.21</v>
      </c>
      <c r="P277" s="13">
        <v>6.9859999999999998</v>
      </c>
      <c r="Q277" s="11">
        <f t="shared" si="60"/>
        <v>87.325000000000003</v>
      </c>
      <c r="R277" s="20">
        <f t="shared" si="61"/>
        <v>34.900683425922225</v>
      </c>
      <c r="S277" s="20">
        <f t="shared" si="62"/>
        <v>0.34900683425922224</v>
      </c>
      <c r="T277" s="15">
        <f t="shared" si="63"/>
        <v>12.354841932776466</v>
      </c>
      <c r="U277" s="15">
        <f t="shared" si="64"/>
        <v>4.9081628065680194</v>
      </c>
      <c r="V277" s="21">
        <v>0.112</v>
      </c>
      <c r="W277" s="20">
        <f t="shared" si="65"/>
        <v>7.0366389922702552</v>
      </c>
      <c r="X277" s="20">
        <f t="shared" si="66"/>
        <v>31.74</v>
      </c>
      <c r="Y277" s="21">
        <f t="shared" si="67"/>
        <v>0.14119192724668944</v>
      </c>
      <c r="Z277" s="21">
        <f t="shared" si="68"/>
        <v>0.18021975563082546</v>
      </c>
      <c r="AA277" s="21">
        <f t="shared" si="69"/>
        <v>0.21951999999999999</v>
      </c>
      <c r="AB277" s="21">
        <f t="shared" si="70"/>
        <v>0.35323072103641789</v>
      </c>
    </row>
    <row r="278" spans="1:28" ht="16" customHeight="1" x14ac:dyDescent="0.2">
      <c r="A278" t="s">
        <v>498</v>
      </c>
      <c r="B278" t="s">
        <v>499</v>
      </c>
      <c r="C278" t="s">
        <v>598</v>
      </c>
      <c r="D278" t="s">
        <v>599</v>
      </c>
      <c r="E278" t="s">
        <v>502</v>
      </c>
      <c r="F278" t="s">
        <v>38</v>
      </c>
      <c r="G278" t="s">
        <v>503</v>
      </c>
      <c r="H278" s="15">
        <v>1470</v>
      </c>
      <c r="I278" s="15">
        <f t="shared" ref="I278:I309" si="71">IF(H278=0, 0, -LOG10(H278*10^-6))</f>
        <v>2.832682665251824</v>
      </c>
      <c r="J278" s="17">
        <v>1.4</v>
      </c>
      <c r="K278" s="17">
        <v>497000</v>
      </c>
      <c r="L278" s="11" t="s">
        <v>35</v>
      </c>
      <c r="M278" s="11" t="s">
        <v>81</v>
      </c>
      <c r="N278" s="14">
        <v>65</v>
      </c>
      <c r="O278" s="11">
        <v>249.34</v>
      </c>
      <c r="P278" s="23" t="s">
        <v>82</v>
      </c>
      <c r="Q278" s="11" t="str">
        <f t="shared" si="60"/>
        <v>-</v>
      </c>
      <c r="R278" s="24" t="str">
        <f t="shared" si="61"/>
        <v>-</v>
      </c>
      <c r="S278" s="20" t="str">
        <f t="shared" si="62"/>
        <v>-</v>
      </c>
      <c r="T278" s="15" t="str">
        <f t="shared" si="63"/>
        <v>-</v>
      </c>
      <c r="U278" s="15" t="str">
        <f t="shared" si="64"/>
        <v>-</v>
      </c>
      <c r="V278" s="21">
        <v>0.34799999999999998</v>
      </c>
      <c r="W278" s="20" t="str">
        <f t="shared" si="65"/>
        <v>-</v>
      </c>
      <c r="X278" s="20" t="str">
        <f t="shared" si="66"/>
        <v>-</v>
      </c>
      <c r="Y278" s="21" t="str">
        <f t="shared" si="67"/>
        <v>-</v>
      </c>
      <c r="Z278" s="21" t="str">
        <f t="shared" si="68"/>
        <v>-</v>
      </c>
      <c r="AA278" s="21">
        <f t="shared" si="69"/>
        <v>0.68207999999999991</v>
      </c>
      <c r="AB278" s="21" t="str">
        <f t="shared" si="70"/>
        <v>-</v>
      </c>
    </row>
    <row r="279" spans="1:28" ht="16" customHeight="1" x14ac:dyDescent="0.2">
      <c r="A279" t="s">
        <v>498</v>
      </c>
      <c r="B279" t="s">
        <v>499</v>
      </c>
      <c r="C279" t="s">
        <v>600</v>
      </c>
      <c r="D279" t="s">
        <v>601</v>
      </c>
      <c r="E279" t="s">
        <v>502</v>
      </c>
      <c r="F279" t="s">
        <v>33</v>
      </c>
      <c r="G279" t="s">
        <v>503</v>
      </c>
      <c r="H279" s="15">
        <v>3.95</v>
      </c>
      <c r="I279" s="15">
        <f t="shared" si="71"/>
        <v>5.4034029043735394</v>
      </c>
      <c r="J279" s="17">
        <v>0.878</v>
      </c>
      <c r="K279" s="17">
        <v>326000</v>
      </c>
      <c r="L279" s="11" t="s">
        <v>35</v>
      </c>
      <c r="M279" s="11" t="s">
        <v>35</v>
      </c>
      <c r="N279" s="14">
        <v>65</v>
      </c>
      <c r="O279" s="11">
        <v>249.15</v>
      </c>
      <c r="P279" s="13">
        <v>21.466000000000001</v>
      </c>
      <c r="Q279" s="11">
        <f t="shared" si="60"/>
        <v>268.32499999999999</v>
      </c>
      <c r="R279" s="20">
        <f t="shared" si="61"/>
        <v>107.69616696769013</v>
      </c>
      <c r="S279" s="20">
        <f t="shared" si="62"/>
        <v>1.0769616696769013</v>
      </c>
      <c r="T279" s="15">
        <f t="shared" si="63"/>
        <v>4.2539985952237602</v>
      </c>
      <c r="U279" s="15">
        <f t="shared" si="64"/>
        <v>5.3712026578481158</v>
      </c>
      <c r="V279" s="21">
        <v>3.6999999999999998E-2</v>
      </c>
      <c r="W279" s="20">
        <f t="shared" si="65"/>
        <v>2.8701555948942512</v>
      </c>
      <c r="X279" s="20">
        <f t="shared" si="66"/>
        <v>31.74</v>
      </c>
      <c r="Y279" s="21">
        <f t="shared" si="67"/>
        <v>0.13840750463609131</v>
      </c>
      <c r="Z279" s="21">
        <f t="shared" si="68"/>
        <v>0.14326771213218154</v>
      </c>
      <c r="AA279" s="21">
        <f t="shared" si="69"/>
        <v>7.2520000000000001E-2</v>
      </c>
      <c r="AB279" s="21">
        <f t="shared" si="70"/>
        <v>0.28080471577907579</v>
      </c>
    </row>
    <row r="280" spans="1:28" ht="16" customHeight="1" x14ac:dyDescent="0.2">
      <c r="A280" t="s">
        <v>498</v>
      </c>
      <c r="B280" t="s">
        <v>499</v>
      </c>
      <c r="C280" t="s">
        <v>602</v>
      </c>
      <c r="D280" t="s">
        <v>603</v>
      </c>
      <c r="E280" t="s">
        <v>502</v>
      </c>
      <c r="F280" t="s">
        <v>33</v>
      </c>
      <c r="G280" t="s">
        <v>503</v>
      </c>
      <c r="H280" s="15">
        <v>2.61</v>
      </c>
      <c r="I280" s="15">
        <f t="shared" si="71"/>
        <v>5.5833594926617192</v>
      </c>
      <c r="J280" s="17">
        <v>0.82499999999999996</v>
      </c>
      <c r="K280" s="17">
        <v>355000</v>
      </c>
      <c r="L280" s="11" t="s">
        <v>35</v>
      </c>
      <c r="M280" s="11" t="s">
        <v>35</v>
      </c>
      <c r="N280" s="14">
        <v>65</v>
      </c>
      <c r="O280" s="11">
        <v>250.95</v>
      </c>
      <c r="P280" s="13">
        <v>17.279</v>
      </c>
      <c r="Q280" s="11">
        <f t="shared" si="60"/>
        <v>215.98750000000001</v>
      </c>
      <c r="R280" s="20">
        <f t="shared" si="61"/>
        <v>86.067941821079913</v>
      </c>
      <c r="S280" s="20">
        <f t="shared" si="62"/>
        <v>0.86067941821079907</v>
      </c>
      <c r="T280" s="15">
        <f t="shared" si="63"/>
        <v>2.2463732815301856</v>
      </c>
      <c r="U280" s="15">
        <f t="shared" si="64"/>
        <v>5.6485180750386315</v>
      </c>
      <c r="V280" s="21">
        <v>4.0899999999999999E-2</v>
      </c>
      <c r="W280" s="20">
        <f t="shared" si="65"/>
        <v>3.3572509983216619</v>
      </c>
      <c r="X280" s="20">
        <f t="shared" si="66"/>
        <v>31.74</v>
      </c>
      <c r="Y280" s="21">
        <f t="shared" si="67"/>
        <v>0.13861403140138545</v>
      </c>
      <c r="Z280" s="21">
        <f t="shared" si="68"/>
        <v>0.14452217719555802</v>
      </c>
      <c r="AA280" s="21">
        <f t="shared" si="69"/>
        <v>8.0163999999999999E-2</v>
      </c>
      <c r="AB280" s="21">
        <f t="shared" si="70"/>
        <v>0.28326346730329371</v>
      </c>
    </row>
    <row r="281" spans="1:28" ht="16" customHeight="1" x14ac:dyDescent="0.2">
      <c r="A281" t="s">
        <v>498</v>
      </c>
      <c r="B281" t="s">
        <v>499</v>
      </c>
      <c r="C281" t="s">
        <v>604</v>
      </c>
      <c r="D281" t="s">
        <v>605</v>
      </c>
      <c r="E281" t="s">
        <v>502</v>
      </c>
      <c r="F281" t="s">
        <v>38</v>
      </c>
      <c r="G281" t="s">
        <v>503</v>
      </c>
      <c r="H281" s="15">
        <v>248</v>
      </c>
      <c r="I281" s="15">
        <f t="shared" si="71"/>
        <v>3.6055483191737836</v>
      </c>
      <c r="J281" s="17">
        <v>1.24</v>
      </c>
      <c r="K281" s="17">
        <v>491000</v>
      </c>
      <c r="L281" s="11" t="s">
        <v>35</v>
      </c>
      <c r="M281" s="11" t="s">
        <v>35</v>
      </c>
      <c r="N281" s="14">
        <v>65</v>
      </c>
      <c r="O281" s="11">
        <v>249.75</v>
      </c>
      <c r="P281" s="13">
        <v>2.5569999999999999</v>
      </c>
      <c r="Q281" s="11">
        <f t="shared" si="60"/>
        <v>31.962499999999999</v>
      </c>
      <c r="R281" s="20">
        <f t="shared" si="61"/>
        <v>12.797797797797797</v>
      </c>
      <c r="S281" s="20">
        <f t="shared" si="62"/>
        <v>0.12797797797797797</v>
      </c>
      <c r="T281" s="15">
        <f t="shared" si="63"/>
        <v>31.738538538538535</v>
      </c>
      <c r="U281" s="15">
        <f t="shared" si="64"/>
        <v>4.4984130750374121</v>
      </c>
      <c r="V281" s="21">
        <v>0.26</v>
      </c>
      <c r="W281" s="20">
        <f t="shared" si="65"/>
        <v>17.735244427062963</v>
      </c>
      <c r="X281" s="20">
        <f t="shared" si="66"/>
        <v>31.74</v>
      </c>
      <c r="Y281" s="21">
        <f t="shared" si="67"/>
        <v>0.15790451038309766</v>
      </c>
      <c r="Z281" s="21">
        <f t="shared" si="68"/>
        <v>0.30419374483924849</v>
      </c>
      <c r="AA281" s="21">
        <f t="shared" si="69"/>
        <v>0.50960000000000005</v>
      </c>
      <c r="AB281" s="21">
        <f t="shared" si="70"/>
        <v>0.59621973988492705</v>
      </c>
    </row>
    <row r="282" spans="1:28" ht="16" customHeight="1" x14ac:dyDescent="0.2">
      <c r="A282" t="s">
        <v>498</v>
      </c>
      <c r="B282" t="s">
        <v>499</v>
      </c>
      <c r="C282" t="s">
        <v>606</v>
      </c>
      <c r="D282" t="s">
        <v>607</v>
      </c>
      <c r="E282" t="s">
        <v>502</v>
      </c>
      <c r="F282" t="s">
        <v>33</v>
      </c>
      <c r="G282" t="s">
        <v>503</v>
      </c>
      <c r="H282" s="15">
        <v>11.3</v>
      </c>
      <c r="I282" s="15">
        <f t="shared" si="71"/>
        <v>4.9469215565165801</v>
      </c>
      <c r="J282" s="17">
        <v>0.59599999999999997</v>
      </c>
      <c r="K282" s="17">
        <v>245000</v>
      </c>
      <c r="L282" s="11" t="s">
        <v>35</v>
      </c>
      <c r="M282" s="11" t="s">
        <v>35</v>
      </c>
      <c r="N282" s="14">
        <v>65</v>
      </c>
      <c r="O282" s="11">
        <v>250.02</v>
      </c>
      <c r="P282" s="13">
        <v>23.625</v>
      </c>
      <c r="Q282" s="11">
        <f t="shared" si="60"/>
        <v>295.3125</v>
      </c>
      <c r="R282" s="20">
        <f t="shared" si="61"/>
        <v>118.11555075593951</v>
      </c>
      <c r="S282" s="20">
        <f t="shared" si="62"/>
        <v>1.1811555075593951</v>
      </c>
      <c r="T282" s="15">
        <f t="shared" si="63"/>
        <v>13.347057235421167</v>
      </c>
      <c r="U282" s="15">
        <f t="shared" si="64"/>
        <v>4.8746144771681452</v>
      </c>
      <c r="V282" s="21">
        <v>0.108</v>
      </c>
      <c r="W282" s="20">
        <f t="shared" si="65"/>
        <v>2.6864550264550262</v>
      </c>
      <c r="X282" s="20">
        <f t="shared" si="66"/>
        <v>31.74</v>
      </c>
      <c r="Y282" s="21">
        <f t="shared" si="67"/>
        <v>0.13833793678128706</v>
      </c>
      <c r="Z282" s="21">
        <f t="shared" si="68"/>
        <v>0.17550323288447814</v>
      </c>
      <c r="AA282" s="21">
        <f t="shared" si="69"/>
        <v>0.21168000000000001</v>
      </c>
      <c r="AB282" s="21">
        <f t="shared" si="70"/>
        <v>0.34398633645357712</v>
      </c>
    </row>
    <row r="283" spans="1:28" ht="16" customHeight="1" x14ac:dyDescent="0.2">
      <c r="A283" t="s">
        <v>498</v>
      </c>
      <c r="B283" t="s">
        <v>499</v>
      </c>
      <c r="C283" t="s">
        <v>608</v>
      </c>
      <c r="D283" t="s">
        <v>609</v>
      </c>
      <c r="E283" t="s">
        <v>502</v>
      </c>
      <c r="F283" t="s">
        <v>38</v>
      </c>
      <c r="G283" t="s">
        <v>503</v>
      </c>
      <c r="H283" s="15">
        <v>391</v>
      </c>
      <c r="I283" s="15">
        <f t="shared" si="71"/>
        <v>3.4078232426041333</v>
      </c>
      <c r="J283" s="17">
        <v>1.23</v>
      </c>
      <c r="K283" s="17">
        <v>447000</v>
      </c>
      <c r="L283" s="11" t="s">
        <v>35</v>
      </c>
      <c r="M283" s="11" t="s">
        <v>81</v>
      </c>
      <c r="N283" s="14">
        <v>65</v>
      </c>
      <c r="O283" s="11">
        <v>249.7</v>
      </c>
      <c r="P283" s="23" t="s">
        <v>82</v>
      </c>
      <c r="Q283" s="11" t="str">
        <f t="shared" si="60"/>
        <v>-</v>
      </c>
      <c r="R283" s="24" t="str">
        <f t="shared" si="61"/>
        <v>-</v>
      </c>
      <c r="S283" s="20" t="str">
        <f t="shared" si="62"/>
        <v>-</v>
      </c>
      <c r="T283" s="15" t="str">
        <f t="shared" si="63"/>
        <v>-</v>
      </c>
      <c r="U283" s="15" t="str">
        <f t="shared" si="64"/>
        <v>-</v>
      </c>
      <c r="V283" s="21">
        <v>0.27700000000000002</v>
      </c>
      <c r="W283" s="20" t="str">
        <f t="shared" si="65"/>
        <v>-</v>
      </c>
      <c r="X283" s="20" t="str">
        <f t="shared" si="66"/>
        <v>-</v>
      </c>
      <c r="Y283" s="21" t="str">
        <f t="shared" si="67"/>
        <v>-</v>
      </c>
      <c r="Z283" s="21" t="str">
        <f t="shared" si="68"/>
        <v>-</v>
      </c>
      <c r="AA283" s="21">
        <f t="shared" si="69"/>
        <v>0.54292000000000007</v>
      </c>
      <c r="AB283" s="21" t="str">
        <f t="shared" si="70"/>
        <v>-</v>
      </c>
    </row>
    <row r="284" spans="1:28" ht="16" customHeight="1" x14ac:dyDescent="0.2">
      <c r="A284" t="s">
        <v>498</v>
      </c>
      <c r="B284" t="s">
        <v>499</v>
      </c>
      <c r="C284" t="s">
        <v>610</v>
      </c>
      <c r="D284" t="s">
        <v>611</v>
      </c>
      <c r="E284" t="s">
        <v>502</v>
      </c>
      <c r="F284" t="s">
        <v>38</v>
      </c>
      <c r="G284" t="s">
        <v>503</v>
      </c>
      <c r="H284" s="15">
        <v>4410</v>
      </c>
      <c r="I284" s="15">
        <f t="shared" si="71"/>
        <v>2.3555614105321614</v>
      </c>
      <c r="J284" s="17">
        <v>1.2</v>
      </c>
      <c r="K284" s="17">
        <v>420000</v>
      </c>
      <c r="L284" s="11" t="s">
        <v>35</v>
      </c>
      <c r="M284" s="11" t="s">
        <v>35</v>
      </c>
      <c r="N284" s="14">
        <v>65</v>
      </c>
      <c r="O284" s="11">
        <v>249.27</v>
      </c>
      <c r="P284" s="13">
        <v>23.957999999999998</v>
      </c>
      <c r="Q284" s="11">
        <f t="shared" si="60"/>
        <v>299.47499999999997</v>
      </c>
      <c r="R284" s="20">
        <f t="shared" si="61"/>
        <v>120.14081116861233</v>
      </c>
      <c r="S284" s="20">
        <f t="shared" si="62"/>
        <v>1.2014081116861233</v>
      </c>
      <c r="T284" s="15">
        <f t="shared" si="63"/>
        <v>5298.2097725358035</v>
      </c>
      <c r="U284" s="15">
        <f t="shared" si="64"/>
        <v>2.2758708506346346</v>
      </c>
      <c r="V284" s="21">
        <v>0.43</v>
      </c>
      <c r="W284" s="20">
        <f t="shared" si="65"/>
        <v>2.6610685366057267</v>
      </c>
      <c r="X284" s="20">
        <f t="shared" si="66"/>
        <v>31.74</v>
      </c>
      <c r="Y284" s="21">
        <f t="shared" si="67"/>
        <v>0.13832868197734605</v>
      </c>
      <c r="Z284" s="21">
        <f t="shared" si="68"/>
        <v>0.45170214108147611</v>
      </c>
      <c r="AA284" s="21">
        <f t="shared" si="69"/>
        <v>0.84279999999999999</v>
      </c>
      <c r="AB284" s="21">
        <f t="shared" si="70"/>
        <v>0.8853361965196932</v>
      </c>
    </row>
    <row r="285" spans="1:28" ht="16" customHeight="1" x14ac:dyDescent="0.2">
      <c r="A285" t="s">
        <v>498</v>
      </c>
      <c r="B285" t="s">
        <v>499</v>
      </c>
      <c r="C285" t="s">
        <v>612</v>
      </c>
      <c r="D285" t="s">
        <v>613</v>
      </c>
      <c r="E285" t="s">
        <v>502</v>
      </c>
      <c r="F285" t="s">
        <v>33</v>
      </c>
      <c r="G285" t="s">
        <v>503</v>
      </c>
      <c r="H285" s="15">
        <v>2.8</v>
      </c>
      <c r="I285" s="15">
        <f t="shared" si="71"/>
        <v>5.5528419686577806</v>
      </c>
      <c r="J285" s="17">
        <v>0.67</v>
      </c>
      <c r="K285" s="17">
        <v>266000</v>
      </c>
      <c r="L285" s="11" t="s">
        <v>35</v>
      </c>
      <c r="M285" s="11" t="s">
        <v>35</v>
      </c>
      <c r="N285" s="14">
        <v>65</v>
      </c>
      <c r="O285" s="11">
        <v>250.25</v>
      </c>
      <c r="P285" s="13">
        <v>11.221</v>
      </c>
      <c r="Q285" s="11">
        <f t="shared" si="60"/>
        <v>140.26249999999999</v>
      </c>
      <c r="R285" s="20">
        <f t="shared" si="61"/>
        <v>56.048951048951047</v>
      </c>
      <c r="S285" s="20">
        <f t="shared" si="62"/>
        <v>0.56048951048951046</v>
      </c>
      <c r="T285" s="15">
        <f t="shared" si="63"/>
        <v>1.5693706293706291</v>
      </c>
      <c r="U285" s="15">
        <f t="shared" si="64"/>
        <v>5.8042744794326788</v>
      </c>
      <c r="V285" s="21">
        <v>0.10299999999999999</v>
      </c>
      <c r="W285" s="20">
        <f t="shared" si="65"/>
        <v>4.7054683183316994</v>
      </c>
      <c r="X285" s="20">
        <f t="shared" si="66"/>
        <v>31.74</v>
      </c>
      <c r="Y285" s="21">
        <f t="shared" si="67"/>
        <v>0.13935162802565651</v>
      </c>
      <c r="Z285" s="21">
        <f t="shared" si="68"/>
        <v>0.17328553382611295</v>
      </c>
      <c r="AA285" s="21">
        <f t="shared" si="69"/>
        <v>0.20187999999999998</v>
      </c>
      <c r="AB285" s="21">
        <f t="shared" si="70"/>
        <v>0.33963964629918136</v>
      </c>
    </row>
    <row r="286" spans="1:28" ht="16" customHeight="1" x14ac:dyDescent="0.2">
      <c r="A286" t="s">
        <v>498</v>
      </c>
      <c r="B286" t="s">
        <v>499</v>
      </c>
      <c r="C286" t="s">
        <v>614</v>
      </c>
      <c r="D286" t="s">
        <v>615</v>
      </c>
      <c r="E286" t="s">
        <v>502</v>
      </c>
      <c r="F286" t="s">
        <v>38</v>
      </c>
      <c r="G286" t="s">
        <v>503</v>
      </c>
      <c r="H286" s="15">
        <v>15600</v>
      </c>
      <c r="I286" s="15">
        <f t="shared" si="71"/>
        <v>1.8068754016455384</v>
      </c>
      <c r="J286" s="17">
        <v>1.26</v>
      </c>
      <c r="K286" s="17">
        <v>456000</v>
      </c>
      <c r="L286" s="11" t="s">
        <v>35</v>
      </c>
      <c r="M286" s="11" t="s">
        <v>81</v>
      </c>
      <c r="N286" s="14">
        <v>65</v>
      </c>
      <c r="O286" s="11">
        <v>249.91</v>
      </c>
      <c r="P286" s="23" t="s">
        <v>82</v>
      </c>
      <c r="Q286" s="11" t="str">
        <f t="shared" si="60"/>
        <v>-</v>
      </c>
      <c r="R286" s="24" t="str">
        <f t="shared" si="61"/>
        <v>-</v>
      </c>
      <c r="S286" s="20" t="str">
        <f t="shared" si="62"/>
        <v>-</v>
      </c>
      <c r="T286" s="15" t="str">
        <f t="shared" si="63"/>
        <v>-</v>
      </c>
      <c r="U286" s="15" t="str">
        <f t="shared" si="64"/>
        <v>-</v>
      </c>
      <c r="V286" s="21">
        <v>0.55000000000000004</v>
      </c>
      <c r="W286" s="20" t="str">
        <f t="shared" si="65"/>
        <v>-</v>
      </c>
      <c r="X286" s="20" t="str">
        <f t="shared" si="66"/>
        <v>-</v>
      </c>
      <c r="Y286" s="21" t="str">
        <f t="shared" si="67"/>
        <v>-</v>
      </c>
      <c r="Z286" s="21" t="str">
        <f t="shared" si="68"/>
        <v>-</v>
      </c>
      <c r="AA286" s="21">
        <f t="shared" si="69"/>
        <v>1.0780000000000001</v>
      </c>
      <c r="AB286" s="21" t="str">
        <f t="shared" si="70"/>
        <v>-</v>
      </c>
    </row>
    <row r="287" spans="1:28" ht="16" customHeight="1" x14ac:dyDescent="0.2">
      <c r="A287" t="s">
        <v>498</v>
      </c>
      <c r="B287" t="s">
        <v>499</v>
      </c>
      <c r="C287" t="s">
        <v>616</v>
      </c>
      <c r="D287" t="s">
        <v>617</v>
      </c>
      <c r="E287" t="s">
        <v>502</v>
      </c>
      <c r="F287" t="s">
        <v>38</v>
      </c>
      <c r="G287" t="s">
        <v>503</v>
      </c>
      <c r="H287" s="15">
        <v>26.5</v>
      </c>
      <c r="I287" s="15">
        <f t="shared" si="71"/>
        <v>4.5767541260631921</v>
      </c>
      <c r="J287" s="17">
        <v>0.51200000000000001</v>
      </c>
      <c r="K287" s="17">
        <v>220000</v>
      </c>
      <c r="L287" s="11" t="s">
        <v>35</v>
      </c>
      <c r="M287" s="11" t="s">
        <v>35</v>
      </c>
      <c r="N287" s="14">
        <v>65</v>
      </c>
      <c r="O287" s="11">
        <v>249.37</v>
      </c>
      <c r="P287" s="13">
        <v>2.8450000000000002</v>
      </c>
      <c r="Q287" s="11">
        <f t="shared" si="60"/>
        <v>35.5625</v>
      </c>
      <c r="R287" s="20">
        <f t="shared" si="61"/>
        <v>14.260937562657897</v>
      </c>
      <c r="S287" s="20">
        <f t="shared" si="62"/>
        <v>0.14260937562657897</v>
      </c>
      <c r="T287" s="15">
        <f t="shared" si="63"/>
        <v>3.7791484541043427</v>
      </c>
      <c r="U287" s="15">
        <f t="shared" si="64"/>
        <v>5.4226060476087881</v>
      </c>
      <c r="V287" s="21">
        <v>8.9099999999999999E-2</v>
      </c>
      <c r="W287" s="20">
        <f t="shared" si="65"/>
        <v>16.026959578207379</v>
      </c>
      <c r="X287" s="20">
        <f t="shared" si="66"/>
        <v>31.74</v>
      </c>
      <c r="Y287" s="21">
        <f t="shared" si="67"/>
        <v>0.15442152612616342</v>
      </c>
      <c r="Z287" s="21">
        <f t="shared" si="68"/>
        <v>0.1782829709510512</v>
      </c>
      <c r="AA287" s="21">
        <f t="shared" si="69"/>
        <v>0.17463599999999999</v>
      </c>
      <c r="AB287" s="21">
        <f t="shared" si="70"/>
        <v>0.34943462306406031</v>
      </c>
    </row>
    <row r="288" spans="1:28" ht="16" customHeight="1" x14ac:dyDescent="0.2">
      <c r="A288" t="s">
        <v>498</v>
      </c>
      <c r="B288" t="s">
        <v>499</v>
      </c>
      <c r="C288" t="s">
        <v>618</v>
      </c>
      <c r="D288" t="s">
        <v>619</v>
      </c>
      <c r="E288" t="s">
        <v>502</v>
      </c>
      <c r="F288" t="s">
        <v>38</v>
      </c>
      <c r="G288" t="s">
        <v>503</v>
      </c>
      <c r="H288" s="15">
        <v>748</v>
      </c>
      <c r="I288" s="15">
        <f t="shared" si="71"/>
        <v>3.1260984021355385</v>
      </c>
      <c r="J288" s="17">
        <v>1.77</v>
      </c>
      <c r="K288" s="17">
        <v>665000</v>
      </c>
      <c r="L288" s="11" t="s">
        <v>35</v>
      </c>
      <c r="M288" s="11" t="s">
        <v>81</v>
      </c>
      <c r="N288" s="14">
        <v>65</v>
      </c>
      <c r="O288" s="11">
        <v>249.27</v>
      </c>
      <c r="P288" s="23" t="s">
        <v>82</v>
      </c>
      <c r="Q288" s="11" t="str">
        <f t="shared" si="60"/>
        <v>-</v>
      </c>
      <c r="R288" s="24" t="str">
        <f t="shared" si="61"/>
        <v>-</v>
      </c>
      <c r="S288" s="20" t="str">
        <f t="shared" si="62"/>
        <v>-</v>
      </c>
      <c r="T288" s="15" t="str">
        <f t="shared" si="63"/>
        <v>-</v>
      </c>
      <c r="U288" s="15" t="str">
        <f t="shared" si="64"/>
        <v>-</v>
      </c>
      <c r="V288" s="21">
        <v>0.17199999999999999</v>
      </c>
      <c r="W288" s="20" t="str">
        <f t="shared" si="65"/>
        <v>-</v>
      </c>
      <c r="X288" s="20" t="str">
        <f t="shared" si="66"/>
        <v>-</v>
      </c>
      <c r="Y288" s="21" t="str">
        <f t="shared" si="67"/>
        <v>-</v>
      </c>
      <c r="Z288" s="21" t="str">
        <f t="shared" si="68"/>
        <v>-</v>
      </c>
      <c r="AA288" s="21">
        <f t="shared" si="69"/>
        <v>0.33711999999999998</v>
      </c>
      <c r="AB288" s="21" t="str">
        <f t="shared" si="70"/>
        <v>-</v>
      </c>
    </row>
    <row r="289" spans="1:28" ht="16" customHeight="1" x14ac:dyDescent="0.2">
      <c r="A289" t="s">
        <v>498</v>
      </c>
      <c r="B289" t="s">
        <v>499</v>
      </c>
      <c r="C289" t="s">
        <v>620</v>
      </c>
      <c r="D289" t="s">
        <v>621</v>
      </c>
      <c r="E289" t="s">
        <v>502</v>
      </c>
      <c r="F289" t="s">
        <v>38</v>
      </c>
      <c r="G289" t="s">
        <v>503</v>
      </c>
      <c r="H289" s="15">
        <v>909</v>
      </c>
      <c r="I289" s="15">
        <f t="shared" si="71"/>
        <v>3.0414361167780326</v>
      </c>
      <c r="J289" s="17">
        <v>1.61</v>
      </c>
      <c r="K289" s="17">
        <v>561000</v>
      </c>
      <c r="L289" s="11" t="s">
        <v>35</v>
      </c>
      <c r="M289" s="11" t="s">
        <v>81</v>
      </c>
      <c r="N289" s="14">
        <v>65</v>
      </c>
      <c r="O289" s="11">
        <v>250.32</v>
      </c>
      <c r="P289" s="23" t="s">
        <v>82</v>
      </c>
      <c r="Q289" s="11" t="str">
        <f t="shared" si="60"/>
        <v>-</v>
      </c>
      <c r="R289" s="24" t="str">
        <f t="shared" si="61"/>
        <v>-</v>
      </c>
      <c r="S289" s="20" t="str">
        <f t="shared" si="62"/>
        <v>-</v>
      </c>
      <c r="T289" s="15" t="str">
        <f t="shared" si="63"/>
        <v>-</v>
      </c>
      <c r="U289" s="15" t="str">
        <f t="shared" si="64"/>
        <v>-</v>
      </c>
      <c r="V289" s="21">
        <v>0.22800000000000001</v>
      </c>
      <c r="W289" s="20" t="str">
        <f t="shared" si="65"/>
        <v>-</v>
      </c>
      <c r="X289" s="20" t="str">
        <f t="shared" si="66"/>
        <v>-</v>
      </c>
      <c r="Y289" s="21" t="str">
        <f t="shared" si="67"/>
        <v>-</v>
      </c>
      <c r="Z289" s="21" t="str">
        <f t="shared" si="68"/>
        <v>-</v>
      </c>
      <c r="AA289" s="21">
        <f t="shared" si="69"/>
        <v>0.44688</v>
      </c>
      <c r="AB289" s="21" t="str">
        <f t="shared" si="70"/>
        <v>-</v>
      </c>
    </row>
    <row r="290" spans="1:28" ht="16" customHeight="1" x14ac:dyDescent="0.2">
      <c r="A290" t="s">
        <v>498</v>
      </c>
      <c r="B290" t="s">
        <v>499</v>
      </c>
      <c r="C290" t="s">
        <v>622</v>
      </c>
      <c r="D290" t="s">
        <v>623</v>
      </c>
      <c r="E290" t="s">
        <v>502</v>
      </c>
      <c r="F290" t="s">
        <v>33</v>
      </c>
      <c r="G290" t="s">
        <v>503</v>
      </c>
      <c r="H290" s="15">
        <v>3.96</v>
      </c>
      <c r="I290" s="15">
        <f t="shared" si="71"/>
        <v>5.4023048140744878</v>
      </c>
      <c r="J290" s="17">
        <v>0.52600000000000002</v>
      </c>
      <c r="K290" s="17">
        <v>224000</v>
      </c>
      <c r="L290" s="11" t="s">
        <v>35</v>
      </c>
      <c r="M290" s="11" t="s">
        <v>35</v>
      </c>
      <c r="N290" s="14">
        <v>65</v>
      </c>
      <c r="O290" s="11">
        <v>249.87</v>
      </c>
      <c r="P290" s="13">
        <v>2.3220000000000001</v>
      </c>
      <c r="Q290" s="11">
        <f t="shared" si="60"/>
        <v>29.025000000000002</v>
      </c>
      <c r="R290" s="20">
        <f t="shared" si="61"/>
        <v>11.616040340977309</v>
      </c>
      <c r="S290" s="20">
        <f t="shared" si="62"/>
        <v>0.11616040340977309</v>
      </c>
      <c r="T290" s="15">
        <f t="shared" si="63"/>
        <v>0.4599951975027014</v>
      </c>
      <c r="U290" s="15">
        <f t="shared" si="64"/>
        <v>6.337246702468347</v>
      </c>
      <c r="V290" s="21">
        <v>6.2100000000000002E-2</v>
      </c>
      <c r="W290" s="20">
        <f t="shared" si="65"/>
        <v>19.443118001722652</v>
      </c>
      <c r="X290" s="20">
        <f t="shared" si="66"/>
        <v>31.74</v>
      </c>
      <c r="Y290" s="21">
        <f t="shared" si="67"/>
        <v>0.16165222593797965</v>
      </c>
      <c r="Z290" s="21">
        <f t="shared" si="68"/>
        <v>0.17317000938587382</v>
      </c>
      <c r="AA290" s="21">
        <f t="shared" si="69"/>
        <v>0.121716</v>
      </c>
      <c r="AB290" s="21">
        <f t="shared" si="70"/>
        <v>0.33941321839631267</v>
      </c>
    </row>
    <row r="291" spans="1:28" ht="16" customHeight="1" x14ac:dyDescent="0.2">
      <c r="A291" t="s">
        <v>498</v>
      </c>
      <c r="B291" t="s">
        <v>499</v>
      </c>
      <c r="C291" t="s">
        <v>624</v>
      </c>
      <c r="D291" t="s">
        <v>625</v>
      </c>
      <c r="E291" t="s">
        <v>502</v>
      </c>
      <c r="F291" t="s">
        <v>33</v>
      </c>
      <c r="G291" t="s">
        <v>503</v>
      </c>
      <c r="H291" s="15">
        <v>11.4</v>
      </c>
      <c r="I291" s="15">
        <f t="shared" si="71"/>
        <v>4.9430951486635273</v>
      </c>
      <c r="J291" s="17">
        <v>0.63400000000000001</v>
      </c>
      <c r="K291" s="17">
        <v>256000</v>
      </c>
      <c r="L291" s="11" t="s">
        <v>247</v>
      </c>
      <c r="M291" s="11" t="s">
        <v>247</v>
      </c>
      <c r="N291" s="14">
        <v>20</v>
      </c>
      <c r="O291" s="11">
        <v>499.38</v>
      </c>
      <c r="P291" s="13">
        <v>14.92</v>
      </c>
      <c r="Q291" s="11">
        <f t="shared" si="60"/>
        <v>186.5</v>
      </c>
      <c r="R291" s="20">
        <f t="shared" si="61"/>
        <v>37.346309423685369</v>
      </c>
      <c r="S291" s="20">
        <f t="shared" si="62"/>
        <v>0.3734630942368537</v>
      </c>
      <c r="T291" s="15">
        <f t="shared" si="63"/>
        <v>4.257479274300132</v>
      </c>
      <c r="U291" s="15">
        <f t="shared" si="64"/>
        <v>5.3708474575354135</v>
      </c>
      <c r="V291" s="21">
        <v>0.109</v>
      </c>
      <c r="W291" s="20">
        <f t="shared" si="65"/>
        <v>3.7520911528150132</v>
      </c>
      <c r="X291" s="20">
        <f t="shared" si="66"/>
        <v>31.74</v>
      </c>
      <c r="Y291" s="21">
        <f t="shared" si="67"/>
        <v>0.13880487750272164</v>
      </c>
      <c r="Z291" s="21">
        <f t="shared" si="68"/>
        <v>0.17648737637164183</v>
      </c>
      <c r="AA291" s="21">
        <f t="shared" si="69"/>
        <v>0.21364</v>
      </c>
      <c r="AB291" s="21">
        <f t="shared" si="70"/>
        <v>0.34591525768841797</v>
      </c>
    </row>
    <row r="292" spans="1:28" ht="16" customHeight="1" x14ac:dyDescent="0.2">
      <c r="A292" t="s">
        <v>498</v>
      </c>
      <c r="B292" t="s">
        <v>499</v>
      </c>
      <c r="C292" t="s">
        <v>626</v>
      </c>
      <c r="D292" t="s">
        <v>627</v>
      </c>
      <c r="E292" t="s">
        <v>502</v>
      </c>
      <c r="F292" t="s">
        <v>38</v>
      </c>
      <c r="G292" t="s">
        <v>503</v>
      </c>
      <c r="H292" s="15">
        <v>13600</v>
      </c>
      <c r="I292" s="15">
        <f t="shared" si="71"/>
        <v>1.8664610916297826</v>
      </c>
      <c r="J292" s="17">
        <v>1.27</v>
      </c>
      <c r="K292" s="17">
        <v>459000</v>
      </c>
      <c r="L292" s="11" t="s">
        <v>35</v>
      </c>
      <c r="M292" s="11" t="s">
        <v>81</v>
      </c>
      <c r="N292" s="14">
        <v>65</v>
      </c>
      <c r="O292" s="11">
        <v>250.22</v>
      </c>
      <c r="P292" s="23" t="s">
        <v>82</v>
      </c>
      <c r="Q292" s="11" t="str">
        <f t="shared" si="60"/>
        <v>-</v>
      </c>
      <c r="R292" s="24" t="str">
        <f t="shared" si="61"/>
        <v>-</v>
      </c>
      <c r="S292" s="20" t="str">
        <f t="shared" si="62"/>
        <v>-</v>
      </c>
      <c r="T292" s="15" t="str">
        <f t="shared" si="63"/>
        <v>-</v>
      </c>
      <c r="U292" s="15" t="str">
        <f t="shared" si="64"/>
        <v>-</v>
      </c>
      <c r="V292" s="21">
        <v>0.59299999999999997</v>
      </c>
      <c r="W292" s="20" t="str">
        <f t="shared" si="65"/>
        <v>-</v>
      </c>
      <c r="X292" s="20" t="str">
        <f t="shared" si="66"/>
        <v>-</v>
      </c>
      <c r="Y292" s="21" t="str">
        <f t="shared" si="67"/>
        <v>-</v>
      </c>
      <c r="Z292" s="21" t="str">
        <f t="shared" si="68"/>
        <v>-</v>
      </c>
      <c r="AA292" s="21">
        <f t="shared" si="69"/>
        <v>1.16228</v>
      </c>
      <c r="AB292" s="21" t="str">
        <f t="shared" si="70"/>
        <v>-</v>
      </c>
    </row>
    <row r="293" spans="1:28" ht="16" customHeight="1" x14ac:dyDescent="0.2">
      <c r="A293" t="s">
        <v>498</v>
      </c>
      <c r="B293" t="s">
        <v>499</v>
      </c>
      <c r="C293" t="s">
        <v>628</v>
      </c>
      <c r="D293" t="s">
        <v>629</v>
      </c>
      <c r="E293" t="s">
        <v>502</v>
      </c>
      <c r="F293" t="s">
        <v>38</v>
      </c>
      <c r="G293" t="s">
        <v>503</v>
      </c>
      <c r="H293" s="15">
        <v>93.7</v>
      </c>
      <c r="I293" s="15">
        <f t="shared" si="71"/>
        <v>4.0282604091122218</v>
      </c>
      <c r="J293" s="17">
        <v>1.28</v>
      </c>
      <c r="K293" s="17">
        <v>441000</v>
      </c>
      <c r="L293" s="11" t="s">
        <v>247</v>
      </c>
      <c r="M293" s="11" t="s">
        <v>247</v>
      </c>
      <c r="N293" s="14">
        <v>20</v>
      </c>
      <c r="O293" s="11">
        <v>499.84</v>
      </c>
      <c r="P293" s="13">
        <v>4.09</v>
      </c>
      <c r="Q293" s="11">
        <f t="shared" si="60"/>
        <v>51.125</v>
      </c>
      <c r="R293" s="20">
        <f t="shared" si="61"/>
        <v>10.228273047375161</v>
      </c>
      <c r="S293" s="20">
        <f t="shared" si="62"/>
        <v>0.10228273047375161</v>
      </c>
      <c r="T293" s="15">
        <f t="shared" si="63"/>
        <v>9.5838918453905269</v>
      </c>
      <c r="U293" s="15">
        <f t="shared" si="64"/>
        <v>5.0184580959580112</v>
      </c>
      <c r="V293" s="21">
        <v>0.14099999999999999</v>
      </c>
      <c r="W293" s="20">
        <f t="shared" si="65"/>
        <v>11.410122249388753</v>
      </c>
      <c r="X293" s="20">
        <f t="shared" si="66"/>
        <v>31.74</v>
      </c>
      <c r="Y293" s="21">
        <f t="shared" si="67"/>
        <v>0.14648145066962628</v>
      </c>
      <c r="Z293" s="21">
        <f t="shared" si="68"/>
        <v>0.20331703172700058</v>
      </c>
      <c r="AA293" s="21">
        <f t="shared" si="69"/>
        <v>0.27635999999999999</v>
      </c>
      <c r="AB293" s="21">
        <f t="shared" si="70"/>
        <v>0.39850138218492115</v>
      </c>
    </row>
    <row r="294" spans="1:28" ht="16" customHeight="1" x14ac:dyDescent="0.2">
      <c r="A294" t="s">
        <v>498</v>
      </c>
      <c r="B294" t="s">
        <v>499</v>
      </c>
      <c r="C294" t="s">
        <v>630</v>
      </c>
      <c r="D294" t="s">
        <v>631</v>
      </c>
      <c r="E294" t="s">
        <v>502</v>
      </c>
      <c r="F294" t="s">
        <v>38</v>
      </c>
      <c r="G294" t="s">
        <v>503</v>
      </c>
      <c r="H294" s="15">
        <v>1030</v>
      </c>
      <c r="I294" s="15">
        <f t="shared" si="71"/>
        <v>2.987162775294828</v>
      </c>
      <c r="J294" s="17">
        <v>1.21</v>
      </c>
      <c r="K294" s="17">
        <v>441000</v>
      </c>
      <c r="L294" s="11" t="s">
        <v>35</v>
      </c>
      <c r="M294" s="11" t="s">
        <v>35</v>
      </c>
      <c r="N294" s="14">
        <v>65</v>
      </c>
      <c r="O294" s="11">
        <v>249.98</v>
      </c>
      <c r="P294" s="13">
        <v>3.3839999999999999</v>
      </c>
      <c r="Q294" s="11">
        <f t="shared" si="60"/>
        <v>42.3</v>
      </c>
      <c r="R294" s="20">
        <f t="shared" si="61"/>
        <v>16.921353708296664</v>
      </c>
      <c r="S294" s="20">
        <f t="shared" si="62"/>
        <v>0.16921353708296663</v>
      </c>
      <c r="T294" s="15">
        <f t="shared" si="63"/>
        <v>174.28994319545563</v>
      </c>
      <c r="U294" s="15">
        <f t="shared" si="64"/>
        <v>3.7587276716434546</v>
      </c>
      <c r="V294" s="21">
        <v>0.28000000000000003</v>
      </c>
      <c r="W294" s="20">
        <f t="shared" si="65"/>
        <v>13.611182033096926</v>
      </c>
      <c r="X294" s="20">
        <f t="shared" si="66"/>
        <v>31.74</v>
      </c>
      <c r="Y294" s="21">
        <f t="shared" si="67"/>
        <v>0.14998521220710229</v>
      </c>
      <c r="Z294" s="21">
        <f t="shared" si="68"/>
        <v>0.31764062064038584</v>
      </c>
      <c r="AA294" s="21">
        <f t="shared" si="69"/>
        <v>0.54880000000000007</v>
      </c>
      <c r="AB294" s="21">
        <f t="shared" si="70"/>
        <v>0.62257561645515624</v>
      </c>
    </row>
    <row r="295" spans="1:28" ht="16" customHeight="1" x14ac:dyDescent="0.2">
      <c r="A295" t="s">
        <v>498</v>
      </c>
      <c r="B295" t="s">
        <v>499</v>
      </c>
      <c r="C295" t="s">
        <v>632</v>
      </c>
      <c r="D295" t="s">
        <v>633</v>
      </c>
      <c r="E295" t="s">
        <v>502</v>
      </c>
      <c r="F295" t="s">
        <v>38</v>
      </c>
      <c r="G295" t="s">
        <v>503</v>
      </c>
      <c r="H295" s="15">
        <v>1010</v>
      </c>
      <c r="I295" s="15">
        <f t="shared" si="71"/>
        <v>2.9956786262173574</v>
      </c>
      <c r="J295" s="17">
        <v>1.2</v>
      </c>
      <c r="K295" s="17">
        <v>419000</v>
      </c>
      <c r="L295" s="11" t="s">
        <v>247</v>
      </c>
      <c r="M295" s="11" t="s">
        <v>247</v>
      </c>
      <c r="N295" s="14">
        <v>20</v>
      </c>
      <c r="O295" s="11">
        <v>501.3</v>
      </c>
      <c r="P295" s="13">
        <v>8.07</v>
      </c>
      <c r="Q295" s="11">
        <f t="shared" si="60"/>
        <v>100.875</v>
      </c>
      <c r="R295" s="20">
        <f t="shared" si="61"/>
        <v>20.122681029323758</v>
      </c>
      <c r="S295" s="20">
        <f t="shared" si="62"/>
        <v>0.20122681029323758</v>
      </c>
      <c r="T295" s="15">
        <f t="shared" si="63"/>
        <v>203.23907839616996</v>
      </c>
      <c r="U295" s="15">
        <f t="shared" si="64"/>
        <v>3.6919927831002846</v>
      </c>
      <c r="V295" s="21">
        <v>0.28799999999999998</v>
      </c>
      <c r="W295" s="20">
        <f t="shared" si="65"/>
        <v>6.2069640644361836</v>
      </c>
      <c r="X295" s="20">
        <f t="shared" si="66"/>
        <v>31.74</v>
      </c>
      <c r="Y295" s="21">
        <f t="shared" si="67"/>
        <v>0.14045609971892706</v>
      </c>
      <c r="Z295" s="21">
        <f t="shared" si="68"/>
        <v>0.32042458699084436</v>
      </c>
      <c r="AA295" s="21">
        <f t="shared" si="69"/>
        <v>0.56447999999999998</v>
      </c>
      <c r="AB295" s="21">
        <f t="shared" si="70"/>
        <v>0.62803219050205494</v>
      </c>
    </row>
    <row r="296" spans="1:28" ht="16" customHeight="1" x14ac:dyDescent="0.2">
      <c r="A296" t="s">
        <v>498</v>
      </c>
      <c r="B296" t="s">
        <v>499</v>
      </c>
      <c r="C296" t="s">
        <v>634</v>
      </c>
      <c r="D296" t="s">
        <v>635</v>
      </c>
      <c r="E296" t="s">
        <v>502</v>
      </c>
      <c r="F296" t="s">
        <v>38</v>
      </c>
      <c r="G296" t="s">
        <v>503</v>
      </c>
      <c r="H296" s="15">
        <v>146</v>
      </c>
      <c r="I296" s="15">
        <f t="shared" si="71"/>
        <v>3.8356471442155629</v>
      </c>
      <c r="J296" s="17">
        <v>1.38</v>
      </c>
      <c r="K296" s="17">
        <v>472000</v>
      </c>
      <c r="L296" s="11" t="s">
        <v>35</v>
      </c>
      <c r="M296" s="11" t="s">
        <v>81</v>
      </c>
      <c r="N296" s="14">
        <v>65</v>
      </c>
      <c r="O296" s="11">
        <v>249.59</v>
      </c>
      <c r="P296" s="23" t="s">
        <v>82</v>
      </c>
      <c r="Q296" s="11" t="str">
        <f t="shared" si="60"/>
        <v>-</v>
      </c>
      <c r="R296" s="24" t="str">
        <f t="shared" si="61"/>
        <v>-</v>
      </c>
      <c r="S296" s="20" t="str">
        <f t="shared" si="62"/>
        <v>-</v>
      </c>
      <c r="T296" s="15" t="str">
        <f t="shared" si="63"/>
        <v>-</v>
      </c>
      <c r="U296" s="15" t="str">
        <f t="shared" si="64"/>
        <v>-</v>
      </c>
      <c r="V296" s="21">
        <v>0.21299999999999999</v>
      </c>
      <c r="W296" s="20" t="str">
        <f t="shared" si="65"/>
        <v>-</v>
      </c>
      <c r="X296" s="20" t="str">
        <f t="shared" si="66"/>
        <v>-</v>
      </c>
      <c r="Y296" s="21" t="str">
        <f t="shared" si="67"/>
        <v>-</v>
      </c>
      <c r="Z296" s="21" t="str">
        <f t="shared" si="68"/>
        <v>-</v>
      </c>
      <c r="AA296" s="21">
        <f t="shared" si="69"/>
        <v>0.41747999999999996</v>
      </c>
      <c r="AB296" s="21" t="str">
        <f t="shared" si="70"/>
        <v>-</v>
      </c>
    </row>
    <row r="297" spans="1:28" ht="16" customHeight="1" x14ac:dyDescent="0.2">
      <c r="A297" t="s">
        <v>498</v>
      </c>
      <c r="B297" t="s">
        <v>499</v>
      </c>
      <c r="C297" t="s">
        <v>636</v>
      </c>
      <c r="D297" t="s">
        <v>637</v>
      </c>
      <c r="E297" t="s">
        <v>502</v>
      </c>
      <c r="F297" t="s">
        <v>33</v>
      </c>
      <c r="G297" t="s">
        <v>503</v>
      </c>
      <c r="H297" s="15">
        <v>31.2</v>
      </c>
      <c r="I297" s="15">
        <f t="shared" si="71"/>
        <v>4.5058454059815576</v>
      </c>
      <c r="J297" s="17">
        <v>1.24</v>
      </c>
      <c r="K297" s="17">
        <v>449000</v>
      </c>
      <c r="L297" s="11" t="s">
        <v>35</v>
      </c>
      <c r="M297" s="11" t="s">
        <v>35</v>
      </c>
      <c r="N297" s="14">
        <v>65</v>
      </c>
      <c r="O297" s="11">
        <v>250.55</v>
      </c>
      <c r="P297" s="13">
        <v>20.672000000000001</v>
      </c>
      <c r="Q297" s="11">
        <f t="shared" si="60"/>
        <v>258.40000000000003</v>
      </c>
      <c r="R297" s="20">
        <f t="shared" si="61"/>
        <v>103.13310716423869</v>
      </c>
      <c r="S297" s="20">
        <f t="shared" si="62"/>
        <v>1.0313310716423869</v>
      </c>
      <c r="T297" s="15">
        <f t="shared" si="63"/>
        <v>32.177529435242469</v>
      </c>
      <c r="U297" s="15">
        <f t="shared" si="64"/>
        <v>4.4924473037370065</v>
      </c>
      <c r="V297" s="21">
        <v>0.17899999999999999</v>
      </c>
      <c r="W297" s="20">
        <f t="shared" si="65"/>
        <v>2.9473645510835911</v>
      </c>
      <c r="X297" s="20">
        <f t="shared" si="66"/>
        <v>31.74</v>
      </c>
      <c r="Y297" s="21">
        <f t="shared" si="67"/>
        <v>0.1384381057022577</v>
      </c>
      <c r="Z297" s="21">
        <f t="shared" si="68"/>
        <v>0.22628766893144991</v>
      </c>
      <c r="AA297" s="21">
        <f t="shared" si="69"/>
        <v>0.35083999999999999</v>
      </c>
      <c r="AB297" s="21">
        <f t="shared" si="70"/>
        <v>0.44352383110564181</v>
      </c>
    </row>
    <row r="298" spans="1:28" ht="16" customHeight="1" x14ac:dyDescent="0.2">
      <c r="A298" t="s">
        <v>498</v>
      </c>
      <c r="B298" t="s">
        <v>499</v>
      </c>
      <c r="C298" t="s">
        <v>638</v>
      </c>
      <c r="D298" t="s">
        <v>639</v>
      </c>
      <c r="E298" t="s">
        <v>502</v>
      </c>
      <c r="F298" t="s">
        <v>38</v>
      </c>
      <c r="G298" t="s">
        <v>503</v>
      </c>
      <c r="H298" s="15">
        <v>266</v>
      </c>
      <c r="I298" s="15">
        <f t="shared" si="71"/>
        <v>3.575118363368933</v>
      </c>
      <c r="J298" s="17">
        <v>1.06</v>
      </c>
      <c r="K298" s="17">
        <v>430000</v>
      </c>
      <c r="L298" s="11" t="s">
        <v>35</v>
      </c>
      <c r="M298" s="11" t="s">
        <v>35</v>
      </c>
      <c r="N298" s="14">
        <v>65</v>
      </c>
      <c r="O298" s="11">
        <v>250.23</v>
      </c>
      <c r="P298" s="13">
        <v>18.149000000000001</v>
      </c>
      <c r="Q298" s="11">
        <f t="shared" si="60"/>
        <v>226.86250000000001</v>
      </c>
      <c r="R298" s="20">
        <f t="shared" si="61"/>
        <v>90.661591335970911</v>
      </c>
      <c r="S298" s="20">
        <f t="shared" si="62"/>
        <v>0.90661591335970915</v>
      </c>
      <c r="T298" s="15">
        <f t="shared" si="63"/>
        <v>241.15983295368264</v>
      </c>
      <c r="U298" s="15">
        <f t="shared" si="64"/>
        <v>3.6176950256331861</v>
      </c>
      <c r="V298" s="21">
        <v>0.28899999999999998</v>
      </c>
      <c r="W298" s="20">
        <f t="shared" si="65"/>
        <v>3.2375414623395224</v>
      </c>
      <c r="X298" s="20">
        <f t="shared" si="66"/>
        <v>31.74</v>
      </c>
      <c r="Y298" s="21">
        <f t="shared" si="67"/>
        <v>0.13856031022946996</v>
      </c>
      <c r="Z298" s="21">
        <f t="shared" si="68"/>
        <v>0.32049954691213989</v>
      </c>
      <c r="AA298" s="21">
        <f t="shared" si="69"/>
        <v>0.56643999999999994</v>
      </c>
      <c r="AB298" s="21">
        <f t="shared" si="70"/>
        <v>0.62817911194779419</v>
      </c>
    </row>
    <row r="299" spans="1:28" ht="16" customHeight="1" x14ac:dyDescent="0.2">
      <c r="A299" t="s">
        <v>498</v>
      </c>
      <c r="B299" t="s">
        <v>499</v>
      </c>
      <c r="C299" t="s">
        <v>640</v>
      </c>
      <c r="D299" t="s">
        <v>641</v>
      </c>
      <c r="E299" t="s">
        <v>502</v>
      </c>
      <c r="F299" t="s">
        <v>33</v>
      </c>
      <c r="G299" t="s">
        <v>503</v>
      </c>
      <c r="H299" s="15">
        <v>8.15</v>
      </c>
      <c r="I299" s="15">
        <f t="shared" si="71"/>
        <v>5.0888423912600231</v>
      </c>
      <c r="J299" s="17">
        <v>0.83399999999999996</v>
      </c>
      <c r="K299" s="17">
        <v>313000</v>
      </c>
      <c r="L299" s="11" t="s">
        <v>247</v>
      </c>
      <c r="M299" s="11" t="s">
        <v>247</v>
      </c>
      <c r="N299" s="14">
        <v>20</v>
      </c>
      <c r="O299" s="11">
        <v>500.24</v>
      </c>
      <c r="P299" s="13">
        <v>20.25</v>
      </c>
      <c r="Q299" s="11">
        <f t="shared" si="60"/>
        <v>253.125</v>
      </c>
      <c r="R299" s="20">
        <f t="shared" si="61"/>
        <v>50.600711658403966</v>
      </c>
      <c r="S299" s="20">
        <f t="shared" si="62"/>
        <v>0.50600711658403963</v>
      </c>
      <c r="T299" s="15">
        <f t="shared" si="63"/>
        <v>4.1239580001599228</v>
      </c>
      <c r="U299" s="15">
        <f t="shared" si="64"/>
        <v>5.3846857663738916</v>
      </c>
      <c r="V299" s="21">
        <v>0.108</v>
      </c>
      <c r="W299" s="20">
        <f t="shared" si="65"/>
        <v>2.9908641975308639</v>
      </c>
      <c r="X299" s="20">
        <f t="shared" si="66"/>
        <v>31.74</v>
      </c>
      <c r="Y299" s="21">
        <f t="shared" si="67"/>
        <v>0.13845570105715219</v>
      </c>
      <c r="Z299" s="21">
        <f t="shared" si="68"/>
        <v>0.17559607386051515</v>
      </c>
      <c r="AA299" s="21">
        <f t="shared" si="69"/>
        <v>0.21168000000000001</v>
      </c>
      <c r="AB299" s="21">
        <f t="shared" si="70"/>
        <v>0.3441683047666097</v>
      </c>
    </row>
    <row r="300" spans="1:28" ht="16" customHeight="1" x14ac:dyDescent="0.2">
      <c r="A300" t="s">
        <v>498</v>
      </c>
      <c r="B300" t="s">
        <v>499</v>
      </c>
      <c r="C300" t="s">
        <v>642</v>
      </c>
      <c r="D300" t="s">
        <v>643</v>
      </c>
      <c r="E300" t="s">
        <v>502</v>
      </c>
      <c r="F300" t="s">
        <v>33</v>
      </c>
      <c r="G300" t="s">
        <v>503</v>
      </c>
      <c r="H300" s="15">
        <v>3.72</v>
      </c>
      <c r="I300" s="15">
        <f t="shared" si="71"/>
        <v>5.4294570601181027</v>
      </c>
      <c r="J300" s="17">
        <v>0.65100000000000002</v>
      </c>
      <c r="K300" s="17">
        <v>260000</v>
      </c>
      <c r="L300" s="11" t="s">
        <v>35</v>
      </c>
      <c r="M300" s="11" t="s">
        <v>35</v>
      </c>
      <c r="N300" s="14">
        <v>65</v>
      </c>
      <c r="O300" s="11">
        <v>249.86</v>
      </c>
      <c r="P300" s="13">
        <v>1.86</v>
      </c>
      <c r="Q300" s="11">
        <f t="shared" si="60"/>
        <v>23.25</v>
      </c>
      <c r="R300" s="20">
        <f t="shared" si="61"/>
        <v>9.3052109181141436</v>
      </c>
      <c r="S300" s="20">
        <f t="shared" si="62"/>
        <v>9.3052109181141429E-2</v>
      </c>
      <c r="T300" s="15">
        <f t="shared" si="63"/>
        <v>0.34615384615384615</v>
      </c>
      <c r="U300" s="15">
        <f t="shared" si="64"/>
        <v>6.460730838531493</v>
      </c>
      <c r="V300" s="21">
        <v>5.8400000000000001E-2</v>
      </c>
      <c r="W300" s="20">
        <f t="shared" si="65"/>
        <v>24.058924731182792</v>
      </c>
      <c r="X300" s="20">
        <f t="shared" si="66"/>
        <v>31.74</v>
      </c>
      <c r="Y300" s="21">
        <f t="shared" si="67"/>
        <v>0.17297025423590748</v>
      </c>
      <c r="Z300" s="21">
        <f t="shared" si="68"/>
        <v>0.18256305445087861</v>
      </c>
      <c r="AA300" s="21">
        <f t="shared" si="69"/>
        <v>0.114464</v>
      </c>
      <c r="AB300" s="21">
        <f t="shared" si="70"/>
        <v>0.35782358672372205</v>
      </c>
    </row>
    <row r="301" spans="1:28" ht="16" customHeight="1" x14ac:dyDescent="0.2">
      <c r="A301" t="s">
        <v>498</v>
      </c>
      <c r="B301" t="s">
        <v>499</v>
      </c>
      <c r="C301" t="s">
        <v>644</v>
      </c>
      <c r="D301" t="s">
        <v>645</v>
      </c>
      <c r="E301" t="s">
        <v>502</v>
      </c>
      <c r="F301" t="s">
        <v>38</v>
      </c>
      <c r="G301" t="s">
        <v>503</v>
      </c>
      <c r="H301" s="16" t="s">
        <v>67</v>
      </c>
      <c r="I301" s="16" t="s">
        <v>67</v>
      </c>
      <c r="J301" s="18" t="s">
        <v>67</v>
      </c>
      <c r="K301" s="18" t="s">
        <v>67</v>
      </c>
      <c r="L301" s="11" t="s">
        <v>35</v>
      </c>
      <c r="M301" s="11" t="s">
        <v>35</v>
      </c>
      <c r="N301" s="14">
        <v>65</v>
      </c>
      <c r="O301" s="11">
        <v>250.41</v>
      </c>
      <c r="P301" s="13">
        <v>15.3</v>
      </c>
      <c r="Q301" s="11">
        <f t="shared" si="60"/>
        <v>191.25</v>
      </c>
      <c r="R301" s="20">
        <f t="shared" si="61"/>
        <v>76.374745417515271</v>
      </c>
      <c r="S301" s="20">
        <f t="shared" si="62"/>
        <v>0.76374745417515266</v>
      </c>
      <c r="T301" s="15" t="str">
        <f t="shared" si="63"/>
        <v>no data</v>
      </c>
      <c r="U301" s="15" t="str">
        <f t="shared" si="64"/>
        <v>no data</v>
      </c>
      <c r="V301" s="22" t="s">
        <v>68</v>
      </c>
      <c r="W301" s="20">
        <f t="shared" si="65"/>
        <v>3.6802614379084964</v>
      </c>
      <c r="X301" s="20">
        <f t="shared" si="66"/>
        <v>31.74</v>
      </c>
      <c r="Y301" s="21">
        <f t="shared" si="67"/>
        <v>0.13876860136005595</v>
      </c>
      <c r="Z301" s="21" t="str">
        <f t="shared" si="68"/>
        <v>-</v>
      </c>
      <c r="AA301" s="21" t="str">
        <f t="shared" si="69"/>
        <v>-</v>
      </c>
      <c r="AB301" s="21" t="str">
        <f t="shared" si="70"/>
        <v>-</v>
      </c>
    </row>
    <row r="302" spans="1:28" ht="16" customHeight="1" x14ac:dyDescent="0.2">
      <c r="A302" t="s">
        <v>498</v>
      </c>
      <c r="B302" t="s">
        <v>499</v>
      </c>
      <c r="C302" t="s">
        <v>646</v>
      </c>
      <c r="D302" t="s">
        <v>647</v>
      </c>
      <c r="E302" t="s">
        <v>502</v>
      </c>
      <c r="F302" t="s">
        <v>33</v>
      </c>
      <c r="G302" t="s">
        <v>503</v>
      </c>
      <c r="H302" s="15">
        <v>3.82</v>
      </c>
      <c r="I302" s="15">
        <f t="shared" ref="I302:I333" si="72">IF(H302=0, 0, -LOG10(H302*10^-6))</f>
        <v>5.4179366370882915</v>
      </c>
      <c r="J302" s="17">
        <v>0.94199999999999995</v>
      </c>
      <c r="K302" s="17">
        <v>344000</v>
      </c>
      <c r="L302" s="11" t="s">
        <v>35</v>
      </c>
      <c r="M302" s="11" t="s">
        <v>35</v>
      </c>
      <c r="N302" s="14">
        <v>65</v>
      </c>
      <c r="O302" s="11">
        <v>249.27</v>
      </c>
      <c r="P302" s="13">
        <v>2.3210000000000002</v>
      </c>
      <c r="Q302" s="11">
        <f t="shared" si="60"/>
        <v>29.012500000000003</v>
      </c>
      <c r="R302" s="20">
        <f t="shared" si="61"/>
        <v>11.638985838648855</v>
      </c>
      <c r="S302" s="20">
        <f t="shared" si="62"/>
        <v>0.11638985838648855</v>
      </c>
      <c r="T302" s="15">
        <f t="shared" si="63"/>
        <v>0.44460925903638626</v>
      </c>
      <c r="U302" s="15">
        <f t="shared" si="64"/>
        <v>6.3520214973128279</v>
      </c>
      <c r="V302" s="21">
        <v>5.8299999999999998E-2</v>
      </c>
      <c r="W302" s="20">
        <f t="shared" si="65"/>
        <v>19.451124515295128</v>
      </c>
      <c r="X302" s="20">
        <f t="shared" si="66"/>
        <v>31.74</v>
      </c>
      <c r="Y302" s="21">
        <f t="shared" si="67"/>
        <v>0.16167039202114053</v>
      </c>
      <c r="Z302" s="21">
        <f t="shared" si="68"/>
        <v>0.17186100679406385</v>
      </c>
      <c r="AA302" s="21">
        <f t="shared" si="69"/>
        <v>0.11426799999999999</v>
      </c>
      <c r="AB302" s="21">
        <f t="shared" si="70"/>
        <v>0.33684757331636517</v>
      </c>
    </row>
    <row r="303" spans="1:28" ht="16" customHeight="1" x14ac:dyDescent="0.2">
      <c r="A303" t="s">
        <v>498</v>
      </c>
      <c r="B303" t="s">
        <v>499</v>
      </c>
      <c r="C303" t="s">
        <v>648</v>
      </c>
      <c r="D303" t="s">
        <v>649</v>
      </c>
      <c r="E303" t="s">
        <v>502</v>
      </c>
      <c r="F303" t="s">
        <v>38</v>
      </c>
      <c r="G303" t="s">
        <v>503</v>
      </c>
      <c r="H303" s="15">
        <v>9.85</v>
      </c>
      <c r="I303" s="15">
        <f t="shared" si="72"/>
        <v>5.0065637695023879</v>
      </c>
      <c r="J303" s="17">
        <v>0.72799999999999998</v>
      </c>
      <c r="K303" s="17">
        <v>323000</v>
      </c>
      <c r="L303" s="11" t="s">
        <v>35</v>
      </c>
      <c r="M303" s="11" t="s">
        <v>35</v>
      </c>
      <c r="N303" s="14">
        <v>65</v>
      </c>
      <c r="O303" s="11">
        <v>249.36</v>
      </c>
      <c r="P303" s="13">
        <v>20.905999999999999</v>
      </c>
      <c r="Q303" s="11">
        <f t="shared" si="60"/>
        <v>261.32499999999999</v>
      </c>
      <c r="R303" s="20">
        <f t="shared" si="61"/>
        <v>104.79828360603143</v>
      </c>
      <c r="S303" s="20">
        <f t="shared" si="62"/>
        <v>1.0479828360603143</v>
      </c>
      <c r="T303" s="15">
        <f t="shared" si="63"/>
        <v>10.322630935194095</v>
      </c>
      <c r="U303" s="15">
        <f t="shared" si="64"/>
        <v>4.9862095997032831</v>
      </c>
      <c r="V303" s="21">
        <v>0.187</v>
      </c>
      <c r="W303" s="20">
        <f t="shared" si="65"/>
        <v>2.9240007653305269</v>
      </c>
      <c r="X303" s="20">
        <f t="shared" si="66"/>
        <v>31.74</v>
      </c>
      <c r="Y303" s="21">
        <f t="shared" si="67"/>
        <v>0.13842876068827861</v>
      </c>
      <c r="Z303" s="21">
        <f t="shared" si="68"/>
        <v>0.23266181849562834</v>
      </c>
      <c r="AA303" s="21">
        <f t="shared" si="69"/>
        <v>0.36652000000000001</v>
      </c>
      <c r="AB303" s="21">
        <f t="shared" si="70"/>
        <v>0.45601716425143152</v>
      </c>
    </row>
    <row r="304" spans="1:28" ht="16" customHeight="1" x14ac:dyDescent="0.2">
      <c r="A304" t="s">
        <v>498</v>
      </c>
      <c r="B304" t="s">
        <v>499</v>
      </c>
      <c r="C304" t="s">
        <v>650</v>
      </c>
      <c r="D304" t="s">
        <v>651</v>
      </c>
      <c r="E304" t="s">
        <v>502</v>
      </c>
      <c r="F304" t="s">
        <v>33</v>
      </c>
      <c r="G304" t="s">
        <v>503</v>
      </c>
      <c r="H304" s="15">
        <v>7.72</v>
      </c>
      <c r="I304" s="15">
        <f t="shared" si="72"/>
        <v>5.1123826996642636</v>
      </c>
      <c r="J304" s="17">
        <v>1.34</v>
      </c>
      <c r="K304" s="17">
        <v>525000</v>
      </c>
      <c r="L304" s="11" t="s">
        <v>35</v>
      </c>
      <c r="M304" s="11" t="s">
        <v>35</v>
      </c>
      <c r="N304" s="14">
        <v>65</v>
      </c>
      <c r="O304" s="11">
        <v>250</v>
      </c>
      <c r="P304" s="13">
        <v>12.222</v>
      </c>
      <c r="Q304" s="11">
        <f t="shared" si="60"/>
        <v>152.77500000000001</v>
      </c>
      <c r="R304" s="20">
        <f t="shared" si="61"/>
        <v>61.11</v>
      </c>
      <c r="S304" s="20">
        <f t="shared" si="62"/>
        <v>0.61109999999999998</v>
      </c>
      <c r="T304" s="15">
        <f t="shared" si="63"/>
        <v>4.7176919999999996</v>
      </c>
      <c r="U304" s="15">
        <f t="shared" si="64"/>
        <v>5.3262704159444372</v>
      </c>
      <c r="V304" s="21">
        <v>0.221</v>
      </c>
      <c r="W304" s="20">
        <f t="shared" si="65"/>
        <v>4.3905187367043039</v>
      </c>
      <c r="X304" s="20">
        <f t="shared" si="66"/>
        <v>31.74</v>
      </c>
      <c r="Y304" s="21">
        <f t="shared" si="67"/>
        <v>0.13915761992165596</v>
      </c>
      <c r="Z304" s="21">
        <f t="shared" si="68"/>
        <v>0.26116248425503241</v>
      </c>
      <c r="AA304" s="21">
        <f t="shared" si="69"/>
        <v>0.43315999999999999</v>
      </c>
      <c r="AB304" s="21">
        <f t="shared" si="70"/>
        <v>0.51187846913986357</v>
      </c>
    </row>
    <row r="305" spans="1:28" ht="16" customHeight="1" x14ac:dyDescent="0.2">
      <c r="A305" t="s">
        <v>498</v>
      </c>
      <c r="B305" t="s">
        <v>499</v>
      </c>
      <c r="C305" t="s">
        <v>652</v>
      </c>
      <c r="D305" t="s">
        <v>653</v>
      </c>
      <c r="E305" t="s">
        <v>502</v>
      </c>
      <c r="F305" t="s">
        <v>33</v>
      </c>
      <c r="G305" t="s">
        <v>503</v>
      </c>
      <c r="H305" s="15">
        <v>3.04</v>
      </c>
      <c r="I305" s="15">
        <f t="shared" si="72"/>
        <v>5.5171264163912461</v>
      </c>
      <c r="J305" s="17">
        <v>0.92200000000000004</v>
      </c>
      <c r="K305" s="17">
        <v>387000</v>
      </c>
      <c r="L305" s="11" t="s">
        <v>35</v>
      </c>
      <c r="M305" s="11" t="s">
        <v>35</v>
      </c>
      <c r="N305" s="14">
        <v>65</v>
      </c>
      <c r="O305" s="11">
        <v>249.48</v>
      </c>
      <c r="P305" s="13">
        <v>5.78</v>
      </c>
      <c r="Q305" s="11">
        <f t="shared" si="60"/>
        <v>72.25</v>
      </c>
      <c r="R305" s="20">
        <f t="shared" si="61"/>
        <v>28.960237293570628</v>
      </c>
      <c r="S305" s="20">
        <f t="shared" si="62"/>
        <v>0.28960237293570629</v>
      </c>
      <c r="T305" s="15">
        <f t="shared" si="63"/>
        <v>0.88039121372454709</v>
      </c>
      <c r="U305" s="15">
        <f t="shared" si="64"/>
        <v>6.0553243003417547</v>
      </c>
      <c r="V305" s="21">
        <v>4.07E-2</v>
      </c>
      <c r="W305" s="20">
        <f t="shared" si="65"/>
        <v>8.3253979238754319</v>
      </c>
      <c r="X305" s="20">
        <f t="shared" si="66"/>
        <v>31.74</v>
      </c>
      <c r="Y305" s="21">
        <f t="shared" si="67"/>
        <v>0.1425081508054804</v>
      </c>
      <c r="Z305" s="21">
        <f t="shared" si="68"/>
        <v>0.14820615049989505</v>
      </c>
      <c r="AA305" s="21">
        <f t="shared" si="69"/>
        <v>7.9771999999999996E-2</v>
      </c>
      <c r="AB305" s="21">
        <f t="shared" si="70"/>
        <v>0.29048405497979429</v>
      </c>
    </row>
    <row r="306" spans="1:28" ht="16" customHeight="1" x14ac:dyDescent="0.2">
      <c r="A306" t="s">
        <v>498</v>
      </c>
      <c r="B306" t="s">
        <v>499</v>
      </c>
      <c r="C306" t="s">
        <v>654</v>
      </c>
      <c r="D306" t="s">
        <v>655</v>
      </c>
      <c r="E306" t="s">
        <v>502</v>
      </c>
      <c r="F306" t="s">
        <v>38</v>
      </c>
      <c r="G306" t="s">
        <v>503</v>
      </c>
      <c r="H306" s="15">
        <v>1720</v>
      </c>
      <c r="I306" s="15">
        <f t="shared" si="72"/>
        <v>2.7644715530924513</v>
      </c>
      <c r="J306" s="17">
        <v>1.45</v>
      </c>
      <c r="K306" s="17">
        <v>512000</v>
      </c>
      <c r="L306" s="11" t="s">
        <v>35</v>
      </c>
      <c r="M306" s="11" t="s">
        <v>81</v>
      </c>
      <c r="N306" s="14">
        <v>65</v>
      </c>
      <c r="O306" s="11">
        <v>250.69</v>
      </c>
      <c r="P306" s="23" t="s">
        <v>82</v>
      </c>
      <c r="Q306" s="11" t="str">
        <f t="shared" si="60"/>
        <v>-</v>
      </c>
      <c r="R306" s="24" t="str">
        <f t="shared" si="61"/>
        <v>-</v>
      </c>
      <c r="S306" s="20" t="str">
        <f t="shared" si="62"/>
        <v>-</v>
      </c>
      <c r="T306" s="15" t="str">
        <f t="shared" si="63"/>
        <v>-</v>
      </c>
      <c r="U306" s="15" t="str">
        <f t="shared" si="64"/>
        <v>-</v>
      </c>
      <c r="V306" s="21">
        <v>0.50900000000000001</v>
      </c>
      <c r="W306" s="20" t="str">
        <f t="shared" si="65"/>
        <v>-</v>
      </c>
      <c r="X306" s="20" t="str">
        <f t="shared" si="66"/>
        <v>-</v>
      </c>
      <c r="Y306" s="21" t="str">
        <f t="shared" si="67"/>
        <v>-</v>
      </c>
      <c r="Z306" s="21" t="str">
        <f t="shared" si="68"/>
        <v>-</v>
      </c>
      <c r="AA306" s="21">
        <f t="shared" si="69"/>
        <v>0.99763999999999997</v>
      </c>
      <c r="AB306" s="21" t="str">
        <f t="shared" si="70"/>
        <v>-</v>
      </c>
    </row>
    <row r="307" spans="1:28" ht="16" customHeight="1" x14ac:dyDescent="0.2">
      <c r="A307" t="s">
        <v>498</v>
      </c>
      <c r="B307" t="s">
        <v>499</v>
      </c>
      <c r="C307" t="s">
        <v>656</v>
      </c>
      <c r="D307" t="s">
        <v>657</v>
      </c>
      <c r="E307" t="s">
        <v>502</v>
      </c>
      <c r="F307" t="s">
        <v>33</v>
      </c>
      <c r="G307" t="s">
        <v>503</v>
      </c>
      <c r="H307" s="15">
        <v>5.84</v>
      </c>
      <c r="I307" s="15">
        <f t="shared" si="72"/>
        <v>5.2335871528876003</v>
      </c>
      <c r="J307" s="17">
        <v>0.98799999999999999</v>
      </c>
      <c r="K307" s="17">
        <v>408000</v>
      </c>
      <c r="L307" s="11" t="s">
        <v>35</v>
      </c>
      <c r="M307" s="11" t="s">
        <v>35</v>
      </c>
      <c r="N307" s="14">
        <v>65</v>
      </c>
      <c r="O307" s="11">
        <v>249.36</v>
      </c>
      <c r="P307" s="13">
        <v>16.600999999999999</v>
      </c>
      <c r="Q307" s="11">
        <f t="shared" si="60"/>
        <v>207.51249999999999</v>
      </c>
      <c r="R307" s="20">
        <f t="shared" si="61"/>
        <v>83.218038177734982</v>
      </c>
      <c r="S307" s="20">
        <f t="shared" si="62"/>
        <v>0.83218038177734988</v>
      </c>
      <c r="T307" s="15">
        <f t="shared" si="63"/>
        <v>4.8599334295797227</v>
      </c>
      <c r="U307" s="15">
        <f t="shared" si="64"/>
        <v>5.3133696795780754</v>
      </c>
      <c r="V307" s="21">
        <v>7.6300000000000007E-2</v>
      </c>
      <c r="W307" s="20">
        <f t="shared" si="65"/>
        <v>3.4592410095777364</v>
      </c>
      <c r="X307" s="20">
        <f t="shared" si="66"/>
        <v>31.74</v>
      </c>
      <c r="Y307" s="21">
        <f t="shared" si="67"/>
        <v>0.13866132212119975</v>
      </c>
      <c r="Z307" s="21">
        <f t="shared" si="68"/>
        <v>0.15826766015961416</v>
      </c>
      <c r="AA307" s="21">
        <f t="shared" si="69"/>
        <v>0.14954800000000001</v>
      </c>
      <c r="AB307" s="21">
        <f t="shared" si="70"/>
        <v>0.31020461391284376</v>
      </c>
    </row>
    <row r="308" spans="1:28" ht="16" customHeight="1" x14ac:dyDescent="0.2">
      <c r="A308" t="s">
        <v>498</v>
      </c>
      <c r="B308" t="s">
        <v>499</v>
      </c>
      <c r="C308" t="s">
        <v>658</v>
      </c>
      <c r="D308" t="s">
        <v>659</v>
      </c>
      <c r="E308" t="s">
        <v>502</v>
      </c>
      <c r="F308" t="s">
        <v>38</v>
      </c>
      <c r="G308" t="s">
        <v>503</v>
      </c>
      <c r="H308" s="15">
        <v>185</v>
      </c>
      <c r="I308" s="15">
        <f t="shared" si="72"/>
        <v>3.7328282715969863</v>
      </c>
      <c r="J308" s="17">
        <v>1.26</v>
      </c>
      <c r="K308" s="17">
        <v>498000</v>
      </c>
      <c r="L308" s="11" t="s">
        <v>35</v>
      </c>
      <c r="M308" s="11" t="s">
        <v>81</v>
      </c>
      <c r="N308" s="14">
        <v>65</v>
      </c>
      <c r="O308" s="11">
        <v>250.18</v>
      </c>
      <c r="P308" s="23" t="s">
        <v>82</v>
      </c>
      <c r="Q308" s="11" t="str">
        <f t="shared" si="60"/>
        <v>-</v>
      </c>
      <c r="R308" s="24" t="str">
        <f t="shared" si="61"/>
        <v>-</v>
      </c>
      <c r="S308" s="20" t="str">
        <f t="shared" si="62"/>
        <v>-</v>
      </c>
      <c r="T308" s="15" t="str">
        <f t="shared" si="63"/>
        <v>-</v>
      </c>
      <c r="U308" s="15" t="str">
        <f t="shared" si="64"/>
        <v>-</v>
      </c>
      <c r="V308" s="21">
        <v>0.19700000000000001</v>
      </c>
      <c r="W308" s="20" t="str">
        <f t="shared" si="65"/>
        <v>-</v>
      </c>
      <c r="X308" s="20" t="str">
        <f t="shared" si="66"/>
        <v>-</v>
      </c>
      <c r="Y308" s="21" t="str">
        <f t="shared" si="67"/>
        <v>-</v>
      </c>
      <c r="Z308" s="21" t="str">
        <f t="shared" si="68"/>
        <v>-</v>
      </c>
      <c r="AA308" s="21">
        <f t="shared" si="69"/>
        <v>0.38612000000000002</v>
      </c>
      <c r="AB308" s="21" t="str">
        <f t="shared" si="70"/>
        <v>-</v>
      </c>
    </row>
    <row r="309" spans="1:28" ht="16" customHeight="1" x14ac:dyDescent="0.2">
      <c r="A309" t="s">
        <v>498</v>
      </c>
      <c r="B309" t="s">
        <v>499</v>
      </c>
      <c r="C309" t="s">
        <v>660</v>
      </c>
      <c r="D309" t="s">
        <v>661</v>
      </c>
      <c r="E309" t="s">
        <v>502</v>
      </c>
      <c r="F309" t="s">
        <v>38</v>
      </c>
      <c r="G309" t="s">
        <v>503</v>
      </c>
      <c r="H309" s="15">
        <v>11900</v>
      </c>
      <c r="I309" s="15">
        <f t="shared" si="72"/>
        <v>1.9244530386074692</v>
      </c>
      <c r="J309" s="17">
        <v>1.28</v>
      </c>
      <c r="K309" s="17">
        <v>463000</v>
      </c>
      <c r="L309" s="11" t="s">
        <v>35</v>
      </c>
      <c r="M309" s="11" t="s">
        <v>81</v>
      </c>
      <c r="N309" s="14">
        <v>65</v>
      </c>
      <c r="O309" s="11">
        <v>249.5</v>
      </c>
      <c r="P309" s="23" t="s">
        <v>82</v>
      </c>
      <c r="Q309" s="11" t="str">
        <f t="shared" si="60"/>
        <v>-</v>
      </c>
      <c r="R309" s="24" t="str">
        <f t="shared" si="61"/>
        <v>-</v>
      </c>
      <c r="S309" s="20" t="str">
        <f t="shared" si="62"/>
        <v>-</v>
      </c>
      <c r="T309" s="15" t="str">
        <f t="shared" si="63"/>
        <v>-</v>
      </c>
      <c r="U309" s="15" t="str">
        <f t="shared" si="64"/>
        <v>-</v>
      </c>
      <c r="V309" s="21">
        <v>0.60199999999999998</v>
      </c>
      <c r="W309" s="20" t="str">
        <f t="shared" si="65"/>
        <v>-</v>
      </c>
      <c r="X309" s="20" t="str">
        <f t="shared" si="66"/>
        <v>-</v>
      </c>
      <c r="Y309" s="21" t="str">
        <f t="shared" si="67"/>
        <v>-</v>
      </c>
      <c r="Z309" s="21" t="str">
        <f t="shared" si="68"/>
        <v>-</v>
      </c>
      <c r="AA309" s="21">
        <f t="shared" si="69"/>
        <v>1.1799199999999999</v>
      </c>
      <c r="AB309" s="21" t="str">
        <f t="shared" si="70"/>
        <v>-</v>
      </c>
    </row>
    <row r="310" spans="1:28" ht="16" customHeight="1" x14ac:dyDescent="0.2">
      <c r="A310" t="s">
        <v>498</v>
      </c>
      <c r="B310" t="s">
        <v>499</v>
      </c>
      <c r="C310" t="s">
        <v>662</v>
      </c>
      <c r="D310" t="s">
        <v>663</v>
      </c>
      <c r="E310" t="s">
        <v>502</v>
      </c>
      <c r="F310" t="s">
        <v>38</v>
      </c>
      <c r="G310" t="s">
        <v>503</v>
      </c>
      <c r="H310" s="15">
        <v>276</v>
      </c>
      <c r="I310" s="15">
        <f t="shared" si="72"/>
        <v>3.5590909179347823</v>
      </c>
      <c r="J310" s="17">
        <v>0.91700000000000004</v>
      </c>
      <c r="K310" s="17">
        <v>337000</v>
      </c>
      <c r="L310" s="11" t="s">
        <v>35</v>
      </c>
      <c r="M310" s="11" t="s">
        <v>35</v>
      </c>
      <c r="N310" s="14">
        <v>65</v>
      </c>
      <c r="O310" s="11">
        <v>248.92</v>
      </c>
      <c r="P310" s="13">
        <v>3.7719999999999998</v>
      </c>
      <c r="Q310" s="11">
        <f t="shared" si="60"/>
        <v>47.15</v>
      </c>
      <c r="R310" s="20">
        <f t="shared" si="61"/>
        <v>18.94182869998393</v>
      </c>
      <c r="S310" s="20">
        <f t="shared" si="62"/>
        <v>0.18941828699983929</v>
      </c>
      <c r="T310" s="15">
        <f t="shared" si="63"/>
        <v>52.279447211955642</v>
      </c>
      <c r="U310" s="15">
        <f t="shared" si="64"/>
        <v>4.2816690131738682</v>
      </c>
      <c r="V310" s="21">
        <v>0.28299999999999997</v>
      </c>
      <c r="W310" s="20">
        <f t="shared" si="65"/>
        <v>12.299554612937433</v>
      </c>
      <c r="X310" s="20">
        <f t="shared" si="66"/>
        <v>31.74</v>
      </c>
      <c r="Y310" s="21">
        <f t="shared" si="67"/>
        <v>0.14783288754620219</v>
      </c>
      <c r="Z310" s="21">
        <f t="shared" si="68"/>
        <v>0.3192860201140163</v>
      </c>
      <c r="AA310" s="21">
        <f t="shared" si="69"/>
        <v>0.55467999999999995</v>
      </c>
      <c r="AB310" s="21">
        <f t="shared" si="70"/>
        <v>0.62580059942347188</v>
      </c>
    </row>
    <row r="311" spans="1:28" ht="16" customHeight="1" x14ac:dyDescent="0.2">
      <c r="A311" t="s">
        <v>498</v>
      </c>
      <c r="B311" t="s">
        <v>499</v>
      </c>
      <c r="C311" t="s">
        <v>664</v>
      </c>
      <c r="D311" t="s">
        <v>665</v>
      </c>
      <c r="E311" t="s">
        <v>502</v>
      </c>
      <c r="F311" t="s">
        <v>33</v>
      </c>
      <c r="G311" t="s">
        <v>503</v>
      </c>
      <c r="H311" s="15">
        <v>30.8</v>
      </c>
      <c r="I311" s="15">
        <f t="shared" si="72"/>
        <v>4.5114492834995561</v>
      </c>
      <c r="J311" s="17">
        <v>0.72599999999999998</v>
      </c>
      <c r="K311" s="17">
        <v>282000</v>
      </c>
      <c r="L311" s="11" t="s">
        <v>35</v>
      </c>
      <c r="M311" s="11" t="s">
        <v>81</v>
      </c>
      <c r="N311" s="14">
        <v>65</v>
      </c>
      <c r="O311" s="11">
        <v>249.32</v>
      </c>
      <c r="P311" s="23" t="s">
        <v>82</v>
      </c>
      <c r="Q311" s="11" t="str">
        <f t="shared" si="60"/>
        <v>-</v>
      </c>
      <c r="R311" s="24" t="str">
        <f t="shared" si="61"/>
        <v>-</v>
      </c>
      <c r="S311" s="20" t="str">
        <f t="shared" si="62"/>
        <v>-</v>
      </c>
      <c r="T311" s="15" t="str">
        <f t="shared" si="63"/>
        <v>-</v>
      </c>
      <c r="U311" s="15" t="str">
        <f t="shared" si="64"/>
        <v>-</v>
      </c>
      <c r="V311" s="21">
        <v>0.22900000000000001</v>
      </c>
      <c r="W311" s="20" t="str">
        <f t="shared" si="65"/>
        <v>-</v>
      </c>
      <c r="X311" s="20" t="str">
        <f t="shared" si="66"/>
        <v>-</v>
      </c>
      <c r="Y311" s="21" t="str">
        <f t="shared" si="67"/>
        <v>-</v>
      </c>
      <c r="Z311" s="21" t="str">
        <f t="shared" si="68"/>
        <v>-</v>
      </c>
      <c r="AA311" s="21">
        <f t="shared" si="69"/>
        <v>0.44884000000000002</v>
      </c>
      <c r="AB311" s="21" t="str">
        <f t="shared" si="70"/>
        <v>-</v>
      </c>
    </row>
    <row r="312" spans="1:28" ht="16" customHeight="1" x14ac:dyDescent="0.2">
      <c r="A312" t="s">
        <v>498</v>
      </c>
      <c r="B312" t="s">
        <v>499</v>
      </c>
      <c r="C312" t="s">
        <v>666</v>
      </c>
      <c r="D312" t="s">
        <v>667</v>
      </c>
      <c r="E312" t="s">
        <v>502</v>
      </c>
      <c r="F312" t="s">
        <v>38</v>
      </c>
      <c r="G312" t="s">
        <v>503</v>
      </c>
      <c r="H312" s="15">
        <v>1240</v>
      </c>
      <c r="I312" s="15">
        <f t="shared" si="72"/>
        <v>2.9065783148377649</v>
      </c>
      <c r="J312" s="17">
        <v>1.31</v>
      </c>
      <c r="K312" s="17">
        <v>469000</v>
      </c>
      <c r="L312" s="11" t="s">
        <v>35</v>
      </c>
      <c r="M312" s="11" t="s">
        <v>81</v>
      </c>
      <c r="N312" s="14">
        <v>65</v>
      </c>
      <c r="O312" s="11">
        <v>249.55</v>
      </c>
      <c r="P312" s="23" t="s">
        <v>82</v>
      </c>
      <c r="Q312" s="11" t="str">
        <f t="shared" si="60"/>
        <v>-</v>
      </c>
      <c r="R312" s="24" t="str">
        <f t="shared" si="61"/>
        <v>-</v>
      </c>
      <c r="S312" s="20" t="str">
        <f t="shared" si="62"/>
        <v>-</v>
      </c>
      <c r="T312" s="15" t="str">
        <f t="shared" si="63"/>
        <v>-</v>
      </c>
      <c r="U312" s="15" t="str">
        <f t="shared" si="64"/>
        <v>-</v>
      </c>
      <c r="V312" s="21">
        <v>0.71499999999999997</v>
      </c>
      <c r="W312" s="20" t="str">
        <f t="shared" si="65"/>
        <v>-</v>
      </c>
      <c r="X312" s="20" t="str">
        <f t="shared" si="66"/>
        <v>-</v>
      </c>
      <c r="Y312" s="21" t="str">
        <f t="shared" si="67"/>
        <v>-</v>
      </c>
      <c r="Z312" s="21" t="str">
        <f t="shared" si="68"/>
        <v>-</v>
      </c>
      <c r="AA312" s="21">
        <f t="shared" si="69"/>
        <v>1.4014</v>
      </c>
      <c r="AB312" s="21" t="str">
        <f t="shared" si="70"/>
        <v>-</v>
      </c>
    </row>
    <row r="313" spans="1:28" ht="16" customHeight="1" x14ac:dyDescent="0.2">
      <c r="A313" t="s">
        <v>498</v>
      </c>
      <c r="B313" t="s">
        <v>499</v>
      </c>
      <c r="C313" t="s">
        <v>668</v>
      </c>
      <c r="D313" t="s">
        <v>669</v>
      </c>
      <c r="E313" t="s">
        <v>502</v>
      </c>
      <c r="F313" t="s">
        <v>38</v>
      </c>
      <c r="G313" t="s">
        <v>503</v>
      </c>
      <c r="H313" s="15">
        <v>80.7</v>
      </c>
      <c r="I313" s="15">
        <f t="shared" si="72"/>
        <v>4.0931264652779298</v>
      </c>
      <c r="J313" s="17">
        <v>1.37</v>
      </c>
      <c r="K313" s="17">
        <v>490000</v>
      </c>
      <c r="L313" s="11" t="s">
        <v>35</v>
      </c>
      <c r="M313" s="11" t="s">
        <v>81</v>
      </c>
      <c r="N313" s="14">
        <v>65</v>
      </c>
      <c r="O313" s="11">
        <v>250.17</v>
      </c>
      <c r="P313" s="23" t="s">
        <v>82</v>
      </c>
      <c r="Q313" s="11" t="str">
        <f t="shared" si="60"/>
        <v>-</v>
      </c>
      <c r="R313" s="24" t="str">
        <f t="shared" si="61"/>
        <v>-</v>
      </c>
      <c r="S313" s="20" t="str">
        <f t="shared" si="62"/>
        <v>-</v>
      </c>
      <c r="T313" s="15" t="str">
        <f t="shared" si="63"/>
        <v>-</v>
      </c>
      <c r="U313" s="15" t="str">
        <f t="shared" si="64"/>
        <v>-</v>
      </c>
      <c r="V313" s="21">
        <v>8.8900000000000007E-2</v>
      </c>
      <c r="W313" s="20" t="str">
        <f t="shared" si="65"/>
        <v>-</v>
      </c>
      <c r="X313" s="20" t="str">
        <f t="shared" si="66"/>
        <v>-</v>
      </c>
      <c r="Y313" s="21" t="str">
        <f t="shared" si="67"/>
        <v>-</v>
      </c>
      <c r="Z313" s="21" t="str">
        <f t="shared" si="68"/>
        <v>-</v>
      </c>
      <c r="AA313" s="21">
        <f t="shared" si="69"/>
        <v>0.17424400000000001</v>
      </c>
      <c r="AB313" s="21" t="str">
        <f t="shared" si="70"/>
        <v>-</v>
      </c>
    </row>
    <row r="314" spans="1:28" ht="16" customHeight="1" x14ac:dyDescent="0.2">
      <c r="A314" t="s">
        <v>498</v>
      </c>
      <c r="B314" t="s">
        <v>499</v>
      </c>
      <c r="C314" t="s">
        <v>670</v>
      </c>
      <c r="D314" t="s">
        <v>671</v>
      </c>
      <c r="E314" t="s">
        <v>502</v>
      </c>
      <c r="F314" t="s">
        <v>33</v>
      </c>
      <c r="G314" t="s">
        <v>503</v>
      </c>
      <c r="H314" s="15">
        <v>2.57</v>
      </c>
      <c r="I314" s="15">
        <f t="shared" si="72"/>
        <v>5.5900668766687058</v>
      </c>
      <c r="J314" s="17">
        <v>0.93300000000000005</v>
      </c>
      <c r="K314" s="17">
        <v>390000</v>
      </c>
      <c r="L314" s="11" t="s">
        <v>35</v>
      </c>
      <c r="M314" s="11" t="s">
        <v>35</v>
      </c>
      <c r="N314" s="14">
        <v>65</v>
      </c>
      <c r="O314" s="11">
        <v>249.88</v>
      </c>
      <c r="P314" s="13">
        <v>14.996</v>
      </c>
      <c r="Q314" s="11">
        <f t="shared" si="60"/>
        <v>187.45000000000002</v>
      </c>
      <c r="R314" s="20">
        <f t="shared" si="61"/>
        <v>75.016007683688173</v>
      </c>
      <c r="S314" s="20">
        <f t="shared" si="62"/>
        <v>0.75016007683688168</v>
      </c>
      <c r="T314" s="15">
        <f t="shared" si="63"/>
        <v>1.9279113974707858</v>
      </c>
      <c r="U314" s="15">
        <f t="shared" si="64"/>
        <v>5.7149129291851199</v>
      </c>
      <c r="V314" s="21">
        <v>3.5099999999999999E-2</v>
      </c>
      <c r="W314" s="20">
        <f t="shared" si="65"/>
        <v>3.7374339823953053</v>
      </c>
      <c r="X314" s="20">
        <f t="shared" si="66"/>
        <v>31.74</v>
      </c>
      <c r="Y314" s="21">
        <f t="shared" si="67"/>
        <v>0.13879741902858531</v>
      </c>
      <c r="Z314" s="21">
        <f t="shared" si="68"/>
        <v>0.14316680316678407</v>
      </c>
      <c r="AA314" s="21">
        <f t="shared" si="69"/>
        <v>6.8795999999999996E-2</v>
      </c>
      <c r="AB314" s="21">
        <f t="shared" si="70"/>
        <v>0.28060693420689675</v>
      </c>
    </row>
    <row r="315" spans="1:28" ht="16" customHeight="1" x14ac:dyDescent="0.2">
      <c r="A315" t="s">
        <v>498</v>
      </c>
      <c r="B315" t="s">
        <v>499</v>
      </c>
      <c r="C315" t="s">
        <v>672</v>
      </c>
      <c r="D315" t="s">
        <v>673</v>
      </c>
      <c r="E315" t="s">
        <v>502</v>
      </c>
      <c r="F315" t="s">
        <v>33</v>
      </c>
      <c r="G315" t="s">
        <v>503</v>
      </c>
      <c r="H315" s="15">
        <v>4.08</v>
      </c>
      <c r="I315" s="15">
        <f t="shared" si="72"/>
        <v>5.3893398369101204</v>
      </c>
      <c r="J315" s="17">
        <v>1.1100000000000001</v>
      </c>
      <c r="K315" s="17">
        <v>448000</v>
      </c>
      <c r="L315" s="11" t="s">
        <v>35</v>
      </c>
      <c r="M315" s="11" t="s">
        <v>35</v>
      </c>
      <c r="N315" s="14">
        <v>65</v>
      </c>
      <c r="O315" s="11">
        <v>250.86</v>
      </c>
      <c r="P315" s="13">
        <v>22.263000000000002</v>
      </c>
      <c r="Q315" s="11">
        <f t="shared" si="60"/>
        <v>278.28750000000002</v>
      </c>
      <c r="R315" s="20">
        <f t="shared" si="61"/>
        <v>110.93338914135376</v>
      </c>
      <c r="S315" s="20">
        <f t="shared" si="62"/>
        <v>1.1093338914135376</v>
      </c>
      <c r="T315" s="15">
        <f t="shared" si="63"/>
        <v>4.5260822769672329</v>
      </c>
      <c r="U315" s="15">
        <f t="shared" si="64"/>
        <v>5.3442775555275395</v>
      </c>
      <c r="V315" s="21">
        <v>9.2999999999999999E-2</v>
      </c>
      <c r="W315" s="20">
        <f t="shared" si="65"/>
        <v>2.7981934150833219</v>
      </c>
      <c r="X315" s="20">
        <f t="shared" si="66"/>
        <v>31.74</v>
      </c>
      <c r="Y315" s="21">
        <f t="shared" si="67"/>
        <v>0.13837970855997161</v>
      </c>
      <c r="Z315" s="21">
        <f t="shared" si="68"/>
        <v>0.16672715358076104</v>
      </c>
      <c r="AA315" s="21">
        <f t="shared" si="69"/>
        <v>0.18228</v>
      </c>
      <c r="AB315" s="21">
        <f t="shared" si="70"/>
        <v>0.32678522101829161</v>
      </c>
    </row>
    <row r="316" spans="1:28" ht="16" customHeight="1" x14ac:dyDescent="0.2">
      <c r="A316" t="s">
        <v>498</v>
      </c>
      <c r="B316" t="s">
        <v>499</v>
      </c>
      <c r="C316" t="s">
        <v>674</v>
      </c>
      <c r="D316" t="s">
        <v>675</v>
      </c>
      <c r="E316" t="s">
        <v>502</v>
      </c>
      <c r="F316" t="s">
        <v>38</v>
      </c>
      <c r="G316" t="s">
        <v>503</v>
      </c>
      <c r="H316" s="15">
        <v>99.9</v>
      </c>
      <c r="I316" s="15">
        <f t="shared" si="72"/>
        <v>4.0004345117740181</v>
      </c>
      <c r="J316" s="17">
        <v>1.32</v>
      </c>
      <c r="K316" s="17">
        <v>472000</v>
      </c>
      <c r="L316" s="11" t="s">
        <v>35</v>
      </c>
      <c r="M316" s="11" t="s">
        <v>81</v>
      </c>
      <c r="N316" s="14">
        <v>65</v>
      </c>
      <c r="O316" s="11">
        <v>249.49</v>
      </c>
      <c r="P316" s="23" t="s">
        <v>82</v>
      </c>
      <c r="Q316" s="11" t="str">
        <f t="shared" si="60"/>
        <v>-</v>
      </c>
      <c r="R316" s="24" t="str">
        <f t="shared" si="61"/>
        <v>-</v>
      </c>
      <c r="S316" s="20" t="str">
        <f t="shared" si="62"/>
        <v>-</v>
      </c>
      <c r="T316" s="15" t="str">
        <f t="shared" si="63"/>
        <v>-</v>
      </c>
      <c r="U316" s="15" t="str">
        <f t="shared" si="64"/>
        <v>-</v>
      </c>
      <c r="V316" s="21">
        <v>0.13200000000000001</v>
      </c>
      <c r="W316" s="20" t="str">
        <f t="shared" si="65"/>
        <v>-</v>
      </c>
      <c r="X316" s="20" t="str">
        <f t="shared" si="66"/>
        <v>-</v>
      </c>
      <c r="Y316" s="21" t="str">
        <f t="shared" si="67"/>
        <v>-</v>
      </c>
      <c r="Z316" s="21" t="str">
        <f t="shared" si="68"/>
        <v>-</v>
      </c>
      <c r="AA316" s="21">
        <f t="shared" si="69"/>
        <v>0.25872000000000001</v>
      </c>
      <c r="AB316" s="21" t="str">
        <f t="shared" si="70"/>
        <v>-</v>
      </c>
    </row>
    <row r="317" spans="1:28" ht="16" customHeight="1" x14ac:dyDescent="0.2">
      <c r="A317" t="s">
        <v>498</v>
      </c>
      <c r="B317" t="s">
        <v>499</v>
      </c>
      <c r="C317" t="s">
        <v>676</v>
      </c>
      <c r="D317" t="s">
        <v>677</v>
      </c>
      <c r="E317" t="s">
        <v>502</v>
      </c>
      <c r="F317" t="s">
        <v>33</v>
      </c>
      <c r="G317" t="s">
        <v>503</v>
      </c>
      <c r="H317" s="15">
        <v>20</v>
      </c>
      <c r="I317" s="15">
        <f t="shared" si="72"/>
        <v>4.6989700043360187</v>
      </c>
      <c r="J317" s="17">
        <v>1.44</v>
      </c>
      <c r="K317" s="17">
        <v>489000</v>
      </c>
      <c r="L317" s="11" t="s">
        <v>247</v>
      </c>
      <c r="M317" s="11" t="s">
        <v>247</v>
      </c>
      <c r="N317" s="14">
        <v>20</v>
      </c>
      <c r="O317" s="11">
        <v>498.22</v>
      </c>
      <c r="P317" s="13">
        <v>10.58</v>
      </c>
      <c r="Q317" s="11">
        <f t="shared" si="60"/>
        <v>132.25</v>
      </c>
      <c r="R317" s="20">
        <f t="shared" si="61"/>
        <v>26.544498414355104</v>
      </c>
      <c r="S317" s="20">
        <f t="shared" si="62"/>
        <v>0.26544498414355105</v>
      </c>
      <c r="T317" s="15">
        <f t="shared" si="63"/>
        <v>5.3088996828710213</v>
      </c>
      <c r="U317" s="15">
        <f t="shared" si="64"/>
        <v>5.2749954810229749</v>
      </c>
      <c r="V317" s="21">
        <v>0.123</v>
      </c>
      <c r="W317" s="20">
        <f t="shared" si="65"/>
        <v>4.9384499054820417</v>
      </c>
      <c r="X317" s="20">
        <f t="shared" si="66"/>
        <v>31.74</v>
      </c>
      <c r="Y317" s="21">
        <f t="shared" si="67"/>
        <v>0.13950360050517124</v>
      </c>
      <c r="Z317" s="21">
        <f t="shared" si="68"/>
        <v>0.18598455461114619</v>
      </c>
      <c r="AA317" s="21">
        <f t="shared" si="69"/>
        <v>0.24107999999999999</v>
      </c>
      <c r="AB317" s="21">
        <f t="shared" si="70"/>
        <v>0.36452972703784653</v>
      </c>
    </row>
    <row r="318" spans="1:28" ht="16" customHeight="1" x14ac:dyDescent="0.2">
      <c r="A318" t="s">
        <v>498</v>
      </c>
      <c r="B318" t="s">
        <v>499</v>
      </c>
      <c r="C318" t="s">
        <v>678</v>
      </c>
      <c r="D318" t="s">
        <v>679</v>
      </c>
      <c r="E318" t="s">
        <v>502</v>
      </c>
      <c r="F318" t="s">
        <v>38</v>
      </c>
      <c r="G318" t="s">
        <v>503</v>
      </c>
      <c r="H318" s="15">
        <v>66.7</v>
      </c>
      <c r="I318" s="15">
        <f t="shared" si="72"/>
        <v>4.1758741660834513</v>
      </c>
      <c r="J318" s="17">
        <v>1.26</v>
      </c>
      <c r="K318" s="17">
        <v>436000</v>
      </c>
      <c r="L318" s="11" t="s">
        <v>35</v>
      </c>
      <c r="M318" s="11" t="s">
        <v>81</v>
      </c>
      <c r="N318" s="14">
        <v>65</v>
      </c>
      <c r="O318" s="11">
        <v>250.55</v>
      </c>
      <c r="P318" s="23" t="s">
        <v>82</v>
      </c>
      <c r="Q318" s="11" t="str">
        <f t="shared" si="60"/>
        <v>-</v>
      </c>
      <c r="R318" s="24" t="str">
        <f t="shared" si="61"/>
        <v>-</v>
      </c>
      <c r="S318" s="20" t="str">
        <f t="shared" si="62"/>
        <v>-</v>
      </c>
      <c r="T318" s="15" t="str">
        <f t="shared" si="63"/>
        <v>-</v>
      </c>
      <c r="U318" s="15" t="str">
        <f t="shared" si="64"/>
        <v>-</v>
      </c>
      <c r="V318" s="21">
        <v>0.159</v>
      </c>
      <c r="W318" s="20" t="str">
        <f t="shared" si="65"/>
        <v>-</v>
      </c>
      <c r="X318" s="20" t="str">
        <f t="shared" si="66"/>
        <v>-</v>
      </c>
      <c r="Y318" s="21" t="str">
        <f t="shared" si="67"/>
        <v>-</v>
      </c>
      <c r="Z318" s="21" t="str">
        <f t="shared" si="68"/>
        <v>-</v>
      </c>
      <c r="AA318" s="21">
        <f t="shared" si="69"/>
        <v>0.31163999999999997</v>
      </c>
      <c r="AB318" s="21" t="str">
        <f t="shared" si="70"/>
        <v>-</v>
      </c>
    </row>
    <row r="319" spans="1:28" ht="16" customHeight="1" x14ac:dyDescent="0.2">
      <c r="A319" t="s">
        <v>498</v>
      </c>
      <c r="B319" t="s">
        <v>499</v>
      </c>
      <c r="C319" t="s">
        <v>680</v>
      </c>
      <c r="D319" t="s">
        <v>681</v>
      </c>
      <c r="E319" t="s">
        <v>502</v>
      </c>
      <c r="F319" t="s">
        <v>38</v>
      </c>
      <c r="G319" t="s">
        <v>503</v>
      </c>
      <c r="H319" s="15">
        <v>1360</v>
      </c>
      <c r="I319" s="15">
        <f t="shared" si="72"/>
        <v>2.8664610916297826</v>
      </c>
      <c r="J319" s="17">
        <v>1.33</v>
      </c>
      <c r="K319" s="17">
        <v>457000</v>
      </c>
      <c r="L319" s="11" t="s">
        <v>35</v>
      </c>
      <c r="M319" s="11" t="s">
        <v>35</v>
      </c>
      <c r="N319" s="14">
        <v>65</v>
      </c>
      <c r="O319" s="11">
        <v>250.59</v>
      </c>
      <c r="P319" s="13">
        <v>7.9630000000000001</v>
      </c>
      <c r="Q319" s="11">
        <f t="shared" si="60"/>
        <v>99.537499999999994</v>
      </c>
      <c r="R319" s="20">
        <f t="shared" si="61"/>
        <v>39.721257831517612</v>
      </c>
      <c r="S319" s="20">
        <f t="shared" si="62"/>
        <v>0.39721257831517609</v>
      </c>
      <c r="T319" s="15">
        <f t="shared" si="63"/>
        <v>540.20910650863948</v>
      </c>
      <c r="U319" s="15">
        <f t="shared" si="64"/>
        <v>3.2674380990209917</v>
      </c>
      <c r="V319" s="21">
        <v>0.27400000000000002</v>
      </c>
      <c r="W319" s="20">
        <f t="shared" si="65"/>
        <v>6.2788120055255554</v>
      </c>
      <c r="X319" s="20">
        <f t="shared" si="66"/>
        <v>31.74</v>
      </c>
      <c r="Y319" s="21">
        <f t="shared" si="67"/>
        <v>0.14051631889396374</v>
      </c>
      <c r="Z319" s="21">
        <f t="shared" si="68"/>
        <v>0.30792992039668721</v>
      </c>
      <c r="AA319" s="21">
        <f t="shared" si="69"/>
        <v>0.53704000000000007</v>
      </c>
      <c r="AB319" s="21">
        <f t="shared" si="70"/>
        <v>0.6035426439775069</v>
      </c>
    </row>
    <row r="320" spans="1:28" ht="16" customHeight="1" x14ac:dyDescent="0.2">
      <c r="A320" t="s">
        <v>498</v>
      </c>
      <c r="B320" t="s">
        <v>499</v>
      </c>
      <c r="C320" t="s">
        <v>682</v>
      </c>
      <c r="D320" t="s">
        <v>683</v>
      </c>
      <c r="E320" t="s">
        <v>502</v>
      </c>
      <c r="F320" t="s">
        <v>33</v>
      </c>
      <c r="G320" t="s">
        <v>503</v>
      </c>
      <c r="H320" s="15">
        <v>1.1000000000000001</v>
      </c>
      <c r="I320" s="15">
        <f t="shared" si="72"/>
        <v>5.9586073148417746</v>
      </c>
      <c r="J320" s="17">
        <v>1.1200000000000001</v>
      </c>
      <c r="K320" s="17">
        <v>450000</v>
      </c>
      <c r="L320" s="11" t="s">
        <v>35</v>
      </c>
      <c r="M320" s="11" t="s">
        <v>35</v>
      </c>
      <c r="N320" s="14">
        <v>65</v>
      </c>
      <c r="O320" s="11">
        <v>249.43</v>
      </c>
      <c r="P320" s="13">
        <v>23.861999999999998</v>
      </c>
      <c r="Q320" s="11">
        <f t="shared" si="60"/>
        <v>298.27499999999998</v>
      </c>
      <c r="R320" s="20">
        <f t="shared" si="61"/>
        <v>119.58264843843962</v>
      </c>
      <c r="S320" s="20">
        <f t="shared" si="62"/>
        <v>1.1958264843843962</v>
      </c>
      <c r="T320" s="15">
        <f t="shared" si="63"/>
        <v>1.3154091328228359</v>
      </c>
      <c r="U320" s="15">
        <f t="shared" si="64"/>
        <v>5.880939147180432</v>
      </c>
      <c r="V320" s="21">
        <v>7.0000000000000007E-2</v>
      </c>
      <c r="W320" s="20">
        <f t="shared" si="65"/>
        <v>2.6683144748973264</v>
      </c>
      <c r="X320" s="20">
        <f t="shared" si="66"/>
        <v>31.74</v>
      </c>
      <c r="Y320" s="21">
        <f t="shared" si="67"/>
        <v>0.13833131463155529</v>
      </c>
      <c r="Z320" s="21">
        <f t="shared" si="68"/>
        <v>0.15503403693284371</v>
      </c>
      <c r="AA320" s="21">
        <f t="shared" si="69"/>
        <v>0.13720000000000002</v>
      </c>
      <c r="AB320" s="21">
        <f t="shared" si="70"/>
        <v>0.30386671238837365</v>
      </c>
    </row>
    <row r="321" spans="1:28" ht="16" customHeight="1" x14ac:dyDescent="0.2">
      <c r="A321" t="s">
        <v>498</v>
      </c>
      <c r="B321" t="s">
        <v>499</v>
      </c>
      <c r="C321" t="s">
        <v>684</v>
      </c>
      <c r="D321" t="s">
        <v>685</v>
      </c>
      <c r="E321" t="s">
        <v>502</v>
      </c>
      <c r="F321" t="s">
        <v>33</v>
      </c>
      <c r="G321" t="s">
        <v>503</v>
      </c>
      <c r="H321" s="15">
        <v>8.4</v>
      </c>
      <c r="I321" s="15">
        <f t="shared" si="72"/>
        <v>5.075720713938118</v>
      </c>
      <c r="J321" s="17">
        <v>0.68799999999999994</v>
      </c>
      <c r="K321" s="17">
        <v>271000</v>
      </c>
      <c r="L321" s="11" t="s">
        <v>35</v>
      </c>
      <c r="M321" s="11" t="s">
        <v>55</v>
      </c>
      <c r="N321" s="14">
        <v>65</v>
      </c>
      <c r="O321" s="11">
        <v>249.55</v>
      </c>
      <c r="P321" s="23" t="s">
        <v>56</v>
      </c>
      <c r="Q321" s="11" t="str">
        <f t="shared" si="60"/>
        <v>-</v>
      </c>
      <c r="R321" s="24" t="str">
        <f t="shared" si="61"/>
        <v>-</v>
      </c>
      <c r="S321" s="20" t="str">
        <f t="shared" si="62"/>
        <v>-</v>
      </c>
      <c r="T321" s="15" t="str">
        <f t="shared" si="63"/>
        <v>-</v>
      </c>
      <c r="U321" s="15" t="str">
        <f t="shared" si="64"/>
        <v>-</v>
      </c>
      <c r="V321" s="21">
        <v>8.4599999999999995E-2</v>
      </c>
      <c r="W321" s="20" t="str">
        <f t="shared" si="65"/>
        <v>-</v>
      </c>
      <c r="X321" s="20" t="str">
        <f t="shared" si="66"/>
        <v>-</v>
      </c>
      <c r="Y321" s="21" t="str">
        <f t="shared" si="67"/>
        <v>-</v>
      </c>
      <c r="Z321" s="21" t="str">
        <f t="shared" si="68"/>
        <v>-</v>
      </c>
      <c r="AA321" s="21">
        <f t="shared" si="69"/>
        <v>0.16581599999999999</v>
      </c>
      <c r="AB321" s="21" t="str">
        <f t="shared" si="70"/>
        <v>-</v>
      </c>
    </row>
    <row r="322" spans="1:28" ht="16" customHeight="1" x14ac:dyDescent="0.2">
      <c r="A322" t="s">
        <v>498</v>
      </c>
      <c r="B322" t="s">
        <v>499</v>
      </c>
      <c r="C322" t="s">
        <v>686</v>
      </c>
      <c r="D322" t="s">
        <v>687</v>
      </c>
      <c r="E322" t="s">
        <v>502</v>
      </c>
      <c r="F322" t="s">
        <v>33</v>
      </c>
      <c r="G322" t="s">
        <v>503</v>
      </c>
      <c r="H322" s="15">
        <v>4.03</v>
      </c>
      <c r="I322" s="15">
        <f t="shared" si="72"/>
        <v>5.3946949538588909</v>
      </c>
      <c r="J322" s="17">
        <v>0.80200000000000005</v>
      </c>
      <c r="K322" s="17">
        <v>318000</v>
      </c>
      <c r="L322" s="11" t="s">
        <v>35</v>
      </c>
      <c r="M322" s="11" t="s">
        <v>35</v>
      </c>
      <c r="N322" s="14">
        <v>65</v>
      </c>
      <c r="O322" s="11">
        <v>249.54</v>
      </c>
      <c r="P322" s="13">
        <v>32.095999999999997</v>
      </c>
      <c r="Q322" s="11">
        <f t="shared" ref="Q322:Q385" si="73">IF(ISNUMBER(P322),12.5*P322,"-")</f>
        <v>401.19999999999993</v>
      </c>
      <c r="R322" s="20">
        <f t="shared" ref="R322:R385" si="74">IF(OR(Q322="-",O322="",O322=0),"-",Q322/O322*100)</f>
        <v>160.77582752264163</v>
      </c>
      <c r="S322" s="20">
        <f t="shared" ref="S322:S385" si="75">IF(R322="-","-",R322/100)</f>
        <v>1.6077582752264163</v>
      </c>
      <c r="T322" s="15">
        <f t="shared" ref="T322:T385" si="76">IF(H322="no data","no data",IF(OR(H322="",S322="-",S322=""),"-",H322*S322))</f>
        <v>6.4792658491624584</v>
      </c>
      <c r="U322" s="15">
        <f t="shared" ref="U322:U385" si="77">IF(T322="no data","no data",IF(T322="-","-",IF(T322="","",IF(T322=0,0,-LOG10(T322*10^-6)))))</f>
        <v>5.1884742002590869</v>
      </c>
      <c r="V322" s="21">
        <v>7.4999999999999997E-2</v>
      </c>
      <c r="W322" s="20">
        <f t="shared" ref="W322:W385" si="78">IF(OR(NOT(ISNUMBER(P322)),P322=0),"-",43.15/P322+0.86)</f>
        <v>2.2044042871385843</v>
      </c>
      <c r="X322" s="20">
        <f t="shared" ref="X322:X385" si="79">IF(W322="-","-",31.74)</f>
        <v>31.74</v>
      </c>
      <c r="Y322" s="21">
        <f t="shared" ref="Y322:Y385" si="80">IF(OR(W322="-",X322="-"),"-",SQRT((W322/100)^2+(X322/100)^2)/LN(10))</f>
        <v>0.13817712133520116</v>
      </c>
      <c r="Z322" s="21">
        <f t="shared" ref="Z322:Z385" si="81">IF(OR(V322="-",Y322="-",U322="no data",U322="",U322="-"),"-",SQRT(V322^2+Y322^2))</f>
        <v>0.15721932724853804</v>
      </c>
      <c r="AA322" s="21">
        <f t="shared" ref="AA322:AA385" si="82">IF(V322="-","-",V322*1.96)</f>
        <v>0.14699999999999999</v>
      </c>
      <c r="AB322" s="21">
        <f t="shared" ref="AB322:AB385" si="83">IF(Z322="-","-",Z322*1.96)</f>
        <v>0.30814988140713456</v>
      </c>
    </row>
    <row r="323" spans="1:28" ht="16" customHeight="1" x14ac:dyDescent="0.2">
      <c r="A323" t="s">
        <v>498</v>
      </c>
      <c r="B323" t="s">
        <v>499</v>
      </c>
      <c r="C323" t="s">
        <v>688</v>
      </c>
      <c r="D323" t="s">
        <v>689</v>
      </c>
      <c r="E323" t="s">
        <v>502</v>
      </c>
      <c r="F323" t="s">
        <v>38</v>
      </c>
      <c r="G323" t="s">
        <v>503</v>
      </c>
      <c r="H323" s="15">
        <v>371</v>
      </c>
      <c r="I323" s="15">
        <f t="shared" si="72"/>
        <v>3.4306260903849544</v>
      </c>
      <c r="J323" s="17">
        <v>1.27</v>
      </c>
      <c r="K323" s="17">
        <v>438000</v>
      </c>
      <c r="L323" s="11" t="s">
        <v>35</v>
      </c>
      <c r="M323" s="11" t="s">
        <v>81</v>
      </c>
      <c r="N323" s="14">
        <v>65</v>
      </c>
      <c r="O323" s="11">
        <v>249.72</v>
      </c>
      <c r="P323" s="23" t="s">
        <v>82</v>
      </c>
      <c r="Q323" s="11" t="str">
        <f t="shared" si="73"/>
        <v>-</v>
      </c>
      <c r="R323" s="24" t="str">
        <f t="shared" si="74"/>
        <v>-</v>
      </c>
      <c r="S323" s="20" t="str">
        <f t="shared" si="75"/>
        <v>-</v>
      </c>
      <c r="T323" s="15" t="str">
        <f t="shared" si="76"/>
        <v>-</v>
      </c>
      <c r="U323" s="15" t="str">
        <f t="shared" si="77"/>
        <v>-</v>
      </c>
      <c r="V323" s="21">
        <v>0.26100000000000001</v>
      </c>
      <c r="W323" s="20" t="str">
        <f t="shared" si="78"/>
        <v>-</v>
      </c>
      <c r="X323" s="20" t="str">
        <f t="shared" si="79"/>
        <v>-</v>
      </c>
      <c r="Y323" s="21" t="str">
        <f t="shared" si="80"/>
        <v>-</v>
      </c>
      <c r="Z323" s="21" t="str">
        <f t="shared" si="81"/>
        <v>-</v>
      </c>
      <c r="AA323" s="21">
        <f t="shared" si="82"/>
        <v>0.51156000000000001</v>
      </c>
      <c r="AB323" s="21" t="str">
        <f t="shared" si="83"/>
        <v>-</v>
      </c>
    </row>
    <row r="324" spans="1:28" ht="16" customHeight="1" x14ac:dyDescent="0.2">
      <c r="A324" t="s">
        <v>498</v>
      </c>
      <c r="B324" t="s">
        <v>499</v>
      </c>
      <c r="C324" t="s">
        <v>690</v>
      </c>
      <c r="D324" t="s">
        <v>691</v>
      </c>
      <c r="E324" t="s">
        <v>502</v>
      </c>
      <c r="F324" t="s">
        <v>33</v>
      </c>
      <c r="G324" t="s">
        <v>503</v>
      </c>
      <c r="H324" s="15">
        <v>9.19</v>
      </c>
      <c r="I324" s="15">
        <f t="shared" si="72"/>
        <v>5.0366844886138891</v>
      </c>
      <c r="J324" s="17">
        <v>1.74</v>
      </c>
      <c r="K324" s="17">
        <v>653000</v>
      </c>
      <c r="L324" s="11" t="s">
        <v>35</v>
      </c>
      <c r="M324" s="11" t="s">
        <v>35</v>
      </c>
      <c r="N324" s="14">
        <v>65</v>
      </c>
      <c r="O324" s="11">
        <v>249.15</v>
      </c>
      <c r="P324" s="13">
        <v>29.562999999999999</v>
      </c>
      <c r="Q324" s="11">
        <f t="shared" si="73"/>
        <v>369.53749999999997</v>
      </c>
      <c r="R324" s="20">
        <f t="shared" si="74"/>
        <v>148.31928557094119</v>
      </c>
      <c r="S324" s="20">
        <f t="shared" si="75"/>
        <v>1.4831928557094118</v>
      </c>
      <c r="T324" s="15">
        <f t="shared" si="76"/>
        <v>13.630542343969495</v>
      </c>
      <c r="U324" s="15">
        <f t="shared" si="77"/>
        <v>4.8654868637319213</v>
      </c>
      <c r="V324" s="21">
        <v>8.2900000000000001E-2</v>
      </c>
      <c r="W324" s="20">
        <f t="shared" si="78"/>
        <v>2.3195947637249263</v>
      </c>
      <c r="X324" s="20">
        <f t="shared" si="79"/>
        <v>31.74</v>
      </c>
      <c r="Y324" s="21">
        <f t="shared" si="80"/>
        <v>0.1382126832947782</v>
      </c>
      <c r="Z324" s="21">
        <f t="shared" si="81"/>
        <v>0.16116809803290061</v>
      </c>
      <c r="AA324" s="21">
        <f t="shared" si="82"/>
        <v>0.16248399999999999</v>
      </c>
      <c r="AB324" s="21">
        <f t="shared" si="83"/>
        <v>0.31588947214448521</v>
      </c>
    </row>
    <row r="325" spans="1:28" ht="16" customHeight="1" x14ac:dyDescent="0.2">
      <c r="A325" t="s">
        <v>498</v>
      </c>
      <c r="B325" t="s">
        <v>499</v>
      </c>
      <c r="C325" t="s">
        <v>692</v>
      </c>
      <c r="D325" t="s">
        <v>693</v>
      </c>
      <c r="E325" t="s">
        <v>502</v>
      </c>
      <c r="F325" t="s">
        <v>33</v>
      </c>
      <c r="G325" t="s">
        <v>503</v>
      </c>
      <c r="H325" s="15">
        <v>5.55</v>
      </c>
      <c r="I325" s="15">
        <f t="shared" si="72"/>
        <v>5.2557070168773237</v>
      </c>
      <c r="J325" s="17">
        <v>1.1100000000000001</v>
      </c>
      <c r="K325" s="17">
        <v>449000</v>
      </c>
      <c r="L325" s="11" t="s">
        <v>247</v>
      </c>
      <c r="M325" s="11" t="s">
        <v>247</v>
      </c>
      <c r="N325" s="14">
        <v>20</v>
      </c>
      <c r="O325" s="11">
        <v>499.74</v>
      </c>
      <c r="P325" s="13">
        <v>16.079999999999998</v>
      </c>
      <c r="Q325" s="11">
        <f t="shared" si="73"/>
        <v>200.99999999999997</v>
      </c>
      <c r="R325" s="20">
        <f t="shared" si="74"/>
        <v>40.220914875735374</v>
      </c>
      <c r="S325" s="20">
        <f t="shared" si="75"/>
        <v>0.40220914875735375</v>
      </c>
      <c r="T325" s="15">
        <f t="shared" si="76"/>
        <v>2.2322607756033133</v>
      </c>
      <c r="U325" s="15">
        <f t="shared" si="77"/>
        <v>5.651255071925287</v>
      </c>
      <c r="V325" s="21">
        <v>4.65E-2</v>
      </c>
      <c r="W325" s="20">
        <f t="shared" si="78"/>
        <v>3.5434577114427861</v>
      </c>
      <c r="X325" s="20">
        <f t="shared" si="79"/>
        <v>31.74</v>
      </c>
      <c r="Y325" s="21">
        <f t="shared" si="80"/>
        <v>0.13870142579532219</v>
      </c>
      <c r="Z325" s="21">
        <f t="shared" si="81"/>
        <v>0.14628853515452012</v>
      </c>
      <c r="AA325" s="21">
        <f t="shared" si="82"/>
        <v>9.1139999999999999E-2</v>
      </c>
      <c r="AB325" s="21">
        <f t="shared" si="83"/>
        <v>0.28672552890285941</v>
      </c>
    </row>
    <row r="326" spans="1:28" ht="16" customHeight="1" x14ac:dyDescent="0.2">
      <c r="A326" t="s">
        <v>498</v>
      </c>
      <c r="B326" t="s">
        <v>499</v>
      </c>
      <c r="C326" t="s">
        <v>694</v>
      </c>
      <c r="D326" t="s">
        <v>695</v>
      </c>
      <c r="E326" t="s">
        <v>502</v>
      </c>
      <c r="F326" t="s">
        <v>33</v>
      </c>
      <c r="G326" t="s">
        <v>503</v>
      </c>
      <c r="H326" s="15">
        <v>6.3</v>
      </c>
      <c r="I326" s="15">
        <f t="shared" si="72"/>
        <v>5.2006594505464179</v>
      </c>
      <c r="J326" s="17">
        <v>0.623</v>
      </c>
      <c r="K326" s="17">
        <v>265000</v>
      </c>
      <c r="L326" s="11" t="s">
        <v>35</v>
      </c>
      <c r="M326" s="11" t="s">
        <v>35</v>
      </c>
      <c r="N326" s="14">
        <v>65</v>
      </c>
      <c r="O326" s="11">
        <v>250.66</v>
      </c>
      <c r="P326" s="13">
        <v>8.8330000000000002</v>
      </c>
      <c r="Q326" s="11">
        <f t="shared" si="73"/>
        <v>110.41250000000001</v>
      </c>
      <c r="R326" s="20">
        <f t="shared" si="74"/>
        <v>44.048711401898991</v>
      </c>
      <c r="S326" s="20">
        <f t="shared" si="75"/>
        <v>0.44048711401898993</v>
      </c>
      <c r="T326" s="15">
        <f t="shared" si="76"/>
        <v>2.7750688183196366</v>
      </c>
      <c r="U326" s="15">
        <f t="shared" si="77"/>
        <v>5.5567262424346806</v>
      </c>
      <c r="V326" s="21">
        <v>5.0299999999999997E-2</v>
      </c>
      <c r="W326" s="20">
        <f t="shared" si="78"/>
        <v>5.7450900033963546</v>
      </c>
      <c r="X326" s="20">
        <f t="shared" si="79"/>
        <v>31.74</v>
      </c>
      <c r="Y326" s="21">
        <f t="shared" si="80"/>
        <v>0.14008495924964329</v>
      </c>
      <c r="Z326" s="21">
        <f t="shared" si="81"/>
        <v>0.14884181471607438</v>
      </c>
      <c r="AA326" s="21">
        <f t="shared" si="82"/>
        <v>9.8587999999999995E-2</v>
      </c>
      <c r="AB326" s="21">
        <f t="shared" si="83"/>
        <v>0.29172995684350578</v>
      </c>
    </row>
    <row r="327" spans="1:28" ht="16" customHeight="1" x14ac:dyDescent="0.2">
      <c r="A327" t="s">
        <v>498</v>
      </c>
      <c r="B327" t="s">
        <v>499</v>
      </c>
      <c r="C327" t="s">
        <v>696</v>
      </c>
      <c r="D327" t="s">
        <v>697</v>
      </c>
      <c r="E327" t="s">
        <v>502</v>
      </c>
      <c r="F327" t="s">
        <v>33</v>
      </c>
      <c r="G327" t="s">
        <v>503</v>
      </c>
      <c r="H327" s="15">
        <v>4.1100000000000003</v>
      </c>
      <c r="I327" s="15">
        <f t="shared" si="72"/>
        <v>5.3861581781239307</v>
      </c>
      <c r="J327" s="17">
        <v>1.1599999999999999</v>
      </c>
      <c r="K327" s="17">
        <v>465000</v>
      </c>
      <c r="L327" s="11" t="s">
        <v>35</v>
      </c>
      <c r="M327" s="11" t="s">
        <v>35</v>
      </c>
      <c r="N327" s="14">
        <v>65</v>
      </c>
      <c r="O327" s="11">
        <v>250.22</v>
      </c>
      <c r="P327" s="13">
        <v>21.631</v>
      </c>
      <c r="Q327" s="11">
        <f t="shared" si="73"/>
        <v>270.38749999999999</v>
      </c>
      <c r="R327" s="20">
        <f t="shared" si="74"/>
        <v>108.0599072815922</v>
      </c>
      <c r="S327" s="20">
        <f t="shared" si="75"/>
        <v>1.080599072815922</v>
      </c>
      <c r="T327" s="15">
        <f t="shared" si="76"/>
        <v>4.4412621892734396</v>
      </c>
      <c r="U327" s="15">
        <f t="shared" si="77"/>
        <v>5.3524935875573458</v>
      </c>
      <c r="V327" s="21">
        <v>5.6099999999999997E-2</v>
      </c>
      <c r="W327" s="20">
        <f t="shared" si="78"/>
        <v>2.8548222458508623</v>
      </c>
      <c r="X327" s="20">
        <f t="shared" si="79"/>
        <v>31.74</v>
      </c>
      <c r="Y327" s="21">
        <f t="shared" si="80"/>
        <v>0.13840152328625177</v>
      </c>
      <c r="Z327" s="21">
        <f t="shared" si="81"/>
        <v>0.14933918323050682</v>
      </c>
      <c r="AA327" s="21">
        <f t="shared" si="82"/>
        <v>0.109956</v>
      </c>
      <c r="AB327" s="21">
        <f t="shared" si="83"/>
        <v>0.29270479913179337</v>
      </c>
    </row>
    <row r="328" spans="1:28" ht="16" customHeight="1" x14ac:dyDescent="0.2">
      <c r="A328" t="s">
        <v>498</v>
      </c>
      <c r="B328" t="s">
        <v>499</v>
      </c>
      <c r="C328" t="s">
        <v>698</v>
      </c>
      <c r="D328" t="s">
        <v>699</v>
      </c>
      <c r="E328" t="s">
        <v>502</v>
      </c>
      <c r="F328" t="s">
        <v>33</v>
      </c>
      <c r="G328" t="s">
        <v>503</v>
      </c>
      <c r="H328" s="15">
        <v>5.59</v>
      </c>
      <c r="I328" s="15">
        <f t="shared" si="72"/>
        <v>5.2525881921135769</v>
      </c>
      <c r="J328" s="17">
        <v>0.91900000000000004</v>
      </c>
      <c r="K328" s="17">
        <v>338000</v>
      </c>
      <c r="L328" s="11" t="s">
        <v>35</v>
      </c>
      <c r="M328" s="11" t="s">
        <v>35</v>
      </c>
      <c r="N328" s="14">
        <v>65</v>
      </c>
      <c r="O328" s="11">
        <v>250.03</v>
      </c>
      <c r="P328" s="13">
        <v>15.041</v>
      </c>
      <c r="Q328" s="11">
        <f t="shared" si="73"/>
        <v>188.01250000000002</v>
      </c>
      <c r="R328" s="20">
        <f t="shared" si="74"/>
        <v>75.195976482822076</v>
      </c>
      <c r="S328" s="20">
        <f t="shared" si="75"/>
        <v>0.7519597648282208</v>
      </c>
      <c r="T328" s="15">
        <f t="shared" si="76"/>
        <v>4.2034550853897539</v>
      </c>
      <c r="U328" s="15">
        <f t="shared" si="77"/>
        <v>5.3763935887301297</v>
      </c>
      <c r="V328" s="21">
        <v>7.9899999999999999E-2</v>
      </c>
      <c r="W328" s="20">
        <f t="shared" si="78"/>
        <v>3.728825211089688</v>
      </c>
      <c r="X328" s="20">
        <f t="shared" si="79"/>
        <v>31.74</v>
      </c>
      <c r="Y328" s="21">
        <f t="shared" si="80"/>
        <v>0.13879305177608164</v>
      </c>
      <c r="Z328" s="21">
        <f t="shared" si="81"/>
        <v>0.16014843496368636</v>
      </c>
      <c r="AA328" s="21">
        <f t="shared" si="82"/>
        <v>0.15660399999999999</v>
      </c>
      <c r="AB328" s="21">
        <f t="shared" si="83"/>
        <v>0.31389093252882527</v>
      </c>
    </row>
    <row r="329" spans="1:28" ht="16" customHeight="1" x14ac:dyDescent="0.2">
      <c r="A329" t="s">
        <v>498</v>
      </c>
      <c r="B329" t="s">
        <v>499</v>
      </c>
      <c r="C329" t="s">
        <v>700</v>
      </c>
      <c r="D329" t="s">
        <v>701</v>
      </c>
      <c r="E329" t="s">
        <v>502</v>
      </c>
      <c r="F329" t="s">
        <v>38</v>
      </c>
      <c r="G329" t="s">
        <v>503</v>
      </c>
      <c r="H329" s="15">
        <v>10600</v>
      </c>
      <c r="I329" s="15">
        <f t="shared" si="72"/>
        <v>1.9746941347352298</v>
      </c>
      <c r="J329" s="17">
        <v>1.29</v>
      </c>
      <c r="K329" s="17">
        <v>466000</v>
      </c>
      <c r="L329" s="11" t="s">
        <v>35</v>
      </c>
      <c r="M329" s="11" t="s">
        <v>81</v>
      </c>
      <c r="N329" s="14">
        <v>65</v>
      </c>
      <c r="O329" s="11">
        <v>249.27</v>
      </c>
      <c r="P329" s="23" t="s">
        <v>82</v>
      </c>
      <c r="Q329" s="11" t="str">
        <f t="shared" si="73"/>
        <v>-</v>
      </c>
      <c r="R329" s="24" t="str">
        <f t="shared" si="74"/>
        <v>-</v>
      </c>
      <c r="S329" s="20" t="str">
        <f t="shared" si="75"/>
        <v>-</v>
      </c>
      <c r="T329" s="15" t="str">
        <f t="shared" si="76"/>
        <v>-</v>
      </c>
      <c r="U329" s="15" t="str">
        <f t="shared" si="77"/>
        <v>-</v>
      </c>
      <c r="V329" s="21">
        <v>0.622</v>
      </c>
      <c r="W329" s="20" t="str">
        <f t="shared" si="78"/>
        <v>-</v>
      </c>
      <c r="X329" s="20" t="str">
        <f t="shared" si="79"/>
        <v>-</v>
      </c>
      <c r="Y329" s="21" t="str">
        <f t="shared" si="80"/>
        <v>-</v>
      </c>
      <c r="Z329" s="21" t="str">
        <f t="shared" si="81"/>
        <v>-</v>
      </c>
      <c r="AA329" s="21">
        <f t="shared" si="82"/>
        <v>1.21912</v>
      </c>
      <c r="AB329" s="21" t="str">
        <f t="shared" si="83"/>
        <v>-</v>
      </c>
    </row>
    <row r="330" spans="1:28" ht="16" customHeight="1" x14ac:dyDescent="0.2">
      <c r="A330" t="s">
        <v>498</v>
      </c>
      <c r="B330" t="s">
        <v>499</v>
      </c>
      <c r="C330" t="s">
        <v>702</v>
      </c>
      <c r="D330" t="s">
        <v>703</v>
      </c>
      <c r="E330" t="s">
        <v>502</v>
      </c>
      <c r="F330" t="s">
        <v>38</v>
      </c>
      <c r="G330" t="s">
        <v>503</v>
      </c>
      <c r="H330" s="15">
        <v>4980</v>
      </c>
      <c r="I330" s="15">
        <f t="shared" si="72"/>
        <v>2.3027706572402824</v>
      </c>
      <c r="J330" s="17">
        <v>1.33</v>
      </c>
      <c r="K330" s="17">
        <v>477000</v>
      </c>
      <c r="L330" s="11" t="s">
        <v>35</v>
      </c>
      <c r="M330" s="11" t="s">
        <v>81</v>
      </c>
      <c r="N330" s="14">
        <v>65</v>
      </c>
      <c r="O330" s="11">
        <v>249.66</v>
      </c>
      <c r="P330" s="23" t="s">
        <v>82</v>
      </c>
      <c r="Q330" s="11" t="str">
        <f t="shared" si="73"/>
        <v>-</v>
      </c>
      <c r="R330" s="24" t="str">
        <f t="shared" si="74"/>
        <v>-</v>
      </c>
      <c r="S330" s="20" t="str">
        <f t="shared" si="75"/>
        <v>-</v>
      </c>
      <c r="T330" s="15" t="str">
        <f t="shared" si="76"/>
        <v>-</v>
      </c>
      <c r="U330" s="15" t="str">
        <f t="shared" si="77"/>
        <v>-</v>
      </c>
      <c r="V330" s="21">
        <v>0.65500000000000003</v>
      </c>
      <c r="W330" s="20" t="str">
        <f t="shared" si="78"/>
        <v>-</v>
      </c>
      <c r="X330" s="20" t="str">
        <f t="shared" si="79"/>
        <v>-</v>
      </c>
      <c r="Y330" s="21" t="str">
        <f t="shared" si="80"/>
        <v>-</v>
      </c>
      <c r="Z330" s="21" t="str">
        <f t="shared" si="81"/>
        <v>-</v>
      </c>
      <c r="AA330" s="21">
        <f t="shared" si="82"/>
        <v>1.2838000000000001</v>
      </c>
      <c r="AB330" s="21" t="str">
        <f t="shared" si="83"/>
        <v>-</v>
      </c>
    </row>
    <row r="331" spans="1:28" ht="16" customHeight="1" x14ac:dyDescent="0.2">
      <c r="A331" t="s">
        <v>498</v>
      </c>
      <c r="B331" t="s">
        <v>499</v>
      </c>
      <c r="C331" t="s">
        <v>704</v>
      </c>
      <c r="D331" t="s">
        <v>705</v>
      </c>
      <c r="E331" t="s">
        <v>502</v>
      </c>
      <c r="F331" t="s">
        <v>33</v>
      </c>
      <c r="G331" t="s">
        <v>503</v>
      </c>
      <c r="H331" s="15">
        <v>6.12</v>
      </c>
      <c r="I331" s="15">
        <f t="shared" si="72"/>
        <v>5.2132485778544391</v>
      </c>
      <c r="J331" s="17">
        <v>0.59</v>
      </c>
      <c r="K331" s="17">
        <v>243000</v>
      </c>
      <c r="L331" s="11" t="s">
        <v>35</v>
      </c>
      <c r="M331" s="11" t="s">
        <v>35</v>
      </c>
      <c r="N331" s="14">
        <v>65</v>
      </c>
      <c r="O331" s="11">
        <v>249.38</v>
      </c>
      <c r="P331" s="13">
        <v>3.3180000000000001</v>
      </c>
      <c r="Q331" s="11">
        <f t="shared" si="73"/>
        <v>41.475000000000001</v>
      </c>
      <c r="R331" s="20">
        <f t="shared" si="74"/>
        <v>16.631245488812255</v>
      </c>
      <c r="S331" s="20">
        <f t="shared" si="75"/>
        <v>0.16631245488812255</v>
      </c>
      <c r="T331" s="15">
        <f t="shared" si="76"/>
        <v>1.0178322239153099</v>
      </c>
      <c r="U331" s="15">
        <f t="shared" si="77"/>
        <v>5.992323803760355</v>
      </c>
      <c r="V331" s="21">
        <v>5.8900000000000001E-2</v>
      </c>
      <c r="W331" s="20">
        <f t="shared" si="78"/>
        <v>13.86482218203737</v>
      </c>
      <c r="X331" s="20">
        <f t="shared" si="79"/>
        <v>31.74</v>
      </c>
      <c r="Y331" s="21">
        <f t="shared" si="80"/>
        <v>0.15042276326478118</v>
      </c>
      <c r="Z331" s="21">
        <f t="shared" si="81"/>
        <v>0.16154323789070343</v>
      </c>
      <c r="AA331" s="21">
        <f t="shared" si="82"/>
        <v>0.115444</v>
      </c>
      <c r="AB331" s="21">
        <f t="shared" si="83"/>
        <v>0.31662474626577874</v>
      </c>
    </row>
    <row r="332" spans="1:28" ht="16" customHeight="1" x14ac:dyDescent="0.2">
      <c r="A332" t="s">
        <v>498</v>
      </c>
      <c r="B332" t="s">
        <v>499</v>
      </c>
      <c r="C332" t="s">
        <v>706</v>
      </c>
      <c r="D332" t="s">
        <v>707</v>
      </c>
      <c r="E332" t="s">
        <v>502</v>
      </c>
      <c r="F332" t="s">
        <v>33</v>
      </c>
      <c r="G332" t="s">
        <v>503</v>
      </c>
      <c r="H332" s="15">
        <v>1.74</v>
      </c>
      <c r="I332" s="15">
        <f t="shared" si="72"/>
        <v>5.7594507517174005</v>
      </c>
      <c r="J332" s="17">
        <v>0.752</v>
      </c>
      <c r="K332" s="17">
        <v>303000</v>
      </c>
      <c r="L332" s="11" t="s">
        <v>247</v>
      </c>
      <c r="M332" s="11" t="s">
        <v>247</v>
      </c>
      <c r="N332" s="14">
        <v>20</v>
      </c>
      <c r="O332" s="11">
        <v>501.14</v>
      </c>
      <c r="P332" s="13">
        <v>26.9</v>
      </c>
      <c r="Q332" s="11">
        <f t="shared" si="73"/>
        <v>336.25</v>
      </c>
      <c r="R332" s="20">
        <f t="shared" si="74"/>
        <v>67.09701879714251</v>
      </c>
      <c r="S332" s="20">
        <f t="shared" si="75"/>
        <v>0.67097018797142516</v>
      </c>
      <c r="T332" s="15">
        <f t="shared" si="76"/>
        <v>1.1674881270702797</v>
      </c>
      <c r="U332" s="15">
        <f t="shared" si="77"/>
        <v>5.9327475273563515</v>
      </c>
      <c r="V332" s="21">
        <v>5.1999999999999998E-2</v>
      </c>
      <c r="W332" s="20">
        <f t="shared" si="78"/>
        <v>2.4640892193308552</v>
      </c>
      <c r="X332" s="20">
        <f t="shared" si="79"/>
        <v>31.74</v>
      </c>
      <c r="Y332" s="21">
        <f t="shared" si="80"/>
        <v>0.13825983857321084</v>
      </c>
      <c r="Z332" s="21">
        <f t="shared" si="81"/>
        <v>0.14771520897419574</v>
      </c>
      <c r="AA332" s="21">
        <f t="shared" si="82"/>
        <v>0.10192</v>
      </c>
      <c r="AB332" s="21">
        <f t="shared" si="83"/>
        <v>0.28952180958942364</v>
      </c>
    </row>
    <row r="333" spans="1:28" ht="16" customHeight="1" x14ac:dyDescent="0.2">
      <c r="A333" t="s">
        <v>498</v>
      </c>
      <c r="B333" t="s">
        <v>499</v>
      </c>
      <c r="C333" t="s">
        <v>708</v>
      </c>
      <c r="D333" t="s">
        <v>709</v>
      </c>
      <c r="E333" t="s">
        <v>502</v>
      </c>
      <c r="F333" t="s">
        <v>38</v>
      </c>
      <c r="G333" t="s">
        <v>503</v>
      </c>
      <c r="H333" s="15">
        <v>163</v>
      </c>
      <c r="I333" s="15">
        <f t="shared" si="72"/>
        <v>3.7878123955960423</v>
      </c>
      <c r="J333" s="17">
        <v>0.63100000000000001</v>
      </c>
      <c r="K333" s="17">
        <v>292000</v>
      </c>
      <c r="L333" s="11" t="s">
        <v>35</v>
      </c>
      <c r="M333" s="11" t="s">
        <v>35</v>
      </c>
      <c r="N333" s="14">
        <v>65</v>
      </c>
      <c r="O333" s="11">
        <v>249.38</v>
      </c>
      <c r="P333" s="13">
        <v>22.423999999999999</v>
      </c>
      <c r="Q333" s="11">
        <f t="shared" si="73"/>
        <v>280.3</v>
      </c>
      <c r="R333" s="20">
        <f t="shared" si="74"/>
        <v>112.39874889726522</v>
      </c>
      <c r="S333" s="20">
        <f t="shared" si="75"/>
        <v>1.1239874889726522</v>
      </c>
      <c r="T333" s="15">
        <f t="shared" si="76"/>
        <v>183.2099607025423</v>
      </c>
      <c r="U333" s="15">
        <f t="shared" si="77"/>
        <v>3.7370509184380709</v>
      </c>
      <c r="V333" s="21">
        <v>0.19500000000000001</v>
      </c>
      <c r="W333" s="20">
        <f t="shared" si="78"/>
        <v>2.7842775597574025</v>
      </c>
      <c r="X333" s="20">
        <f t="shared" si="79"/>
        <v>31.74</v>
      </c>
      <c r="Y333" s="21">
        <f t="shared" si="80"/>
        <v>0.1383744142312599</v>
      </c>
      <c r="Z333" s="21">
        <f t="shared" si="81"/>
        <v>0.23910767138225469</v>
      </c>
      <c r="AA333" s="21">
        <f t="shared" si="82"/>
        <v>0.38219999999999998</v>
      </c>
      <c r="AB333" s="21">
        <f t="shared" si="83"/>
        <v>0.46865103590921919</v>
      </c>
    </row>
    <row r="334" spans="1:28" ht="16" customHeight="1" x14ac:dyDescent="0.2">
      <c r="A334" t="s">
        <v>498</v>
      </c>
      <c r="B334" t="s">
        <v>499</v>
      </c>
      <c r="C334" t="s">
        <v>710</v>
      </c>
      <c r="D334" t="s">
        <v>711</v>
      </c>
      <c r="E334" t="s">
        <v>502</v>
      </c>
      <c r="F334" t="s">
        <v>33</v>
      </c>
      <c r="G334" t="s">
        <v>503</v>
      </c>
      <c r="H334" s="15">
        <v>2.0499999999999998</v>
      </c>
      <c r="I334" s="15">
        <f t="shared" ref="I334:I365" si="84">IF(H334=0, 0, -LOG10(H334*10^-6))</f>
        <v>5.6882461389442458</v>
      </c>
      <c r="J334" s="17">
        <v>0.93500000000000005</v>
      </c>
      <c r="K334" s="17">
        <v>391000</v>
      </c>
      <c r="L334" s="11" t="s">
        <v>35</v>
      </c>
      <c r="M334" s="11" t="s">
        <v>35</v>
      </c>
      <c r="N334" s="14">
        <v>65</v>
      </c>
      <c r="O334" s="11">
        <v>250.62</v>
      </c>
      <c r="P334" s="13">
        <v>26.062999999999999</v>
      </c>
      <c r="Q334" s="11">
        <f t="shared" si="73"/>
        <v>325.78749999999997</v>
      </c>
      <c r="R334" s="20">
        <f t="shared" si="74"/>
        <v>129.99261830659964</v>
      </c>
      <c r="S334" s="20">
        <f t="shared" si="75"/>
        <v>1.2999261830659963</v>
      </c>
      <c r="T334" s="15">
        <f t="shared" si="76"/>
        <v>2.6648486752852922</v>
      </c>
      <c r="U334" s="15">
        <f t="shared" si="77"/>
        <v>5.5743274475584199</v>
      </c>
      <c r="V334" s="21">
        <v>7.7600000000000002E-2</v>
      </c>
      <c r="W334" s="20">
        <f t="shared" si="78"/>
        <v>2.5156037294248552</v>
      </c>
      <c r="X334" s="20">
        <f t="shared" si="79"/>
        <v>31.74</v>
      </c>
      <c r="Y334" s="21">
        <f t="shared" si="80"/>
        <v>0.13827733491450589</v>
      </c>
      <c r="Z334" s="21">
        <f t="shared" si="81"/>
        <v>0.15856349312202489</v>
      </c>
      <c r="AA334" s="21">
        <f t="shared" si="82"/>
        <v>0.15209600000000001</v>
      </c>
      <c r="AB334" s="21">
        <f t="shared" si="83"/>
        <v>0.31078444651916876</v>
      </c>
    </row>
    <row r="335" spans="1:28" ht="16" customHeight="1" x14ac:dyDescent="0.2">
      <c r="A335" t="s">
        <v>498</v>
      </c>
      <c r="B335" t="s">
        <v>499</v>
      </c>
      <c r="C335" t="s">
        <v>712</v>
      </c>
      <c r="D335" t="s">
        <v>713</v>
      </c>
      <c r="E335" t="s">
        <v>502</v>
      </c>
      <c r="F335" t="s">
        <v>38</v>
      </c>
      <c r="G335" t="s">
        <v>503</v>
      </c>
      <c r="H335" s="15">
        <v>3960</v>
      </c>
      <c r="I335" s="15">
        <f t="shared" si="84"/>
        <v>2.4023048140744878</v>
      </c>
      <c r="J335" s="17">
        <v>1.33</v>
      </c>
      <c r="K335" s="17">
        <v>476000</v>
      </c>
      <c r="L335" s="11" t="s">
        <v>35</v>
      </c>
      <c r="M335" s="11" t="s">
        <v>81</v>
      </c>
      <c r="N335" s="14">
        <v>65</v>
      </c>
      <c r="O335" s="11">
        <v>250.09</v>
      </c>
      <c r="P335" s="23" t="s">
        <v>82</v>
      </c>
      <c r="Q335" s="11" t="str">
        <f t="shared" si="73"/>
        <v>-</v>
      </c>
      <c r="R335" s="24" t="str">
        <f t="shared" si="74"/>
        <v>-</v>
      </c>
      <c r="S335" s="20" t="str">
        <f t="shared" si="75"/>
        <v>-</v>
      </c>
      <c r="T335" s="15" t="str">
        <f t="shared" si="76"/>
        <v>-</v>
      </c>
      <c r="U335" s="15" t="str">
        <f t="shared" si="77"/>
        <v>-</v>
      </c>
      <c r="V335" s="21">
        <v>0.63800000000000001</v>
      </c>
      <c r="W335" s="20" t="str">
        <f t="shared" si="78"/>
        <v>-</v>
      </c>
      <c r="X335" s="20" t="str">
        <f t="shared" si="79"/>
        <v>-</v>
      </c>
      <c r="Y335" s="21" t="str">
        <f t="shared" si="80"/>
        <v>-</v>
      </c>
      <c r="Z335" s="21" t="str">
        <f t="shared" si="81"/>
        <v>-</v>
      </c>
      <c r="AA335" s="21">
        <f t="shared" si="82"/>
        <v>1.25048</v>
      </c>
      <c r="AB335" s="21" t="str">
        <f t="shared" si="83"/>
        <v>-</v>
      </c>
    </row>
    <row r="336" spans="1:28" ht="16" customHeight="1" x14ac:dyDescent="0.2">
      <c r="A336" t="s">
        <v>498</v>
      </c>
      <c r="B336" t="s">
        <v>499</v>
      </c>
      <c r="C336" t="s">
        <v>714</v>
      </c>
      <c r="D336" t="s">
        <v>715</v>
      </c>
      <c r="E336" t="s">
        <v>502</v>
      </c>
      <c r="F336" t="s">
        <v>33</v>
      </c>
      <c r="G336" t="s">
        <v>503</v>
      </c>
      <c r="H336" s="15">
        <v>2.91</v>
      </c>
      <c r="I336" s="15">
        <f t="shared" si="84"/>
        <v>5.5361070110140931</v>
      </c>
      <c r="J336" s="17">
        <v>1.46</v>
      </c>
      <c r="K336" s="17">
        <v>563000</v>
      </c>
      <c r="L336" s="11" t="s">
        <v>35</v>
      </c>
      <c r="M336" s="11" t="s">
        <v>35</v>
      </c>
      <c r="N336" s="14">
        <v>65</v>
      </c>
      <c r="O336" s="11">
        <v>249.88</v>
      </c>
      <c r="P336" s="13">
        <v>12.351000000000001</v>
      </c>
      <c r="Q336" s="11">
        <f t="shared" si="73"/>
        <v>154.38750000000002</v>
      </c>
      <c r="R336" s="20">
        <f t="shared" si="74"/>
        <v>61.784656635184895</v>
      </c>
      <c r="S336" s="20">
        <f t="shared" si="75"/>
        <v>0.61784656635184898</v>
      </c>
      <c r="T336" s="15">
        <f t="shared" si="76"/>
        <v>1.7979335080838805</v>
      </c>
      <c r="U336" s="15">
        <f t="shared" si="77"/>
        <v>5.7452263735628719</v>
      </c>
      <c r="V336" s="21">
        <v>3.7600000000000001E-2</v>
      </c>
      <c r="W336" s="20">
        <f t="shared" si="78"/>
        <v>4.3536442393328469</v>
      </c>
      <c r="X336" s="20">
        <f t="shared" si="79"/>
        <v>31.74</v>
      </c>
      <c r="Y336" s="21">
        <f t="shared" si="80"/>
        <v>0.13913576697080016</v>
      </c>
      <c r="Z336" s="21">
        <f t="shared" si="81"/>
        <v>0.14412675549859855</v>
      </c>
      <c r="AA336" s="21">
        <f t="shared" si="82"/>
        <v>7.3695999999999998E-2</v>
      </c>
      <c r="AB336" s="21">
        <f t="shared" si="83"/>
        <v>0.28248844077725316</v>
      </c>
    </row>
    <row r="337" spans="1:28" ht="16" customHeight="1" x14ac:dyDescent="0.2">
      <c r="A337" t="s">
        <v>498</v>
      </c>
      <c r="B337" t="s">
        <v>499</v>
      </c>
      <c r="C337" t="s">
        <v>716</v>
      </c>
      <c r="D337" t="s">
        <v>717</v>
      </c>
      <c r="E337" t="s">
        <v>502</v>
      </c>
      <c r="F337" t="s">
        <v>33</v>
      </c>
      <c r="G337" t="s">
        <v>503</v>
      </c>
      <c r="H337" s="15">
        <v>2.35</v>
      </c>
      <c r="I337" s="15">
        <f t="shared" si="84"/>
        <v>5.6289321377282642</v>
      </c>
      <c r="J337" s="17">
        <v>0.99</v>
      </c>
      <c r="K337" s="17">
        <v>375000</v>
      </c>
      <c r="L337" s="11" t="s">
        <v>35</v>
      </c>
      <c r="M337" s="11" t="s">
        <v>35</v>
      </c>
      <c r="N337" s="14">
        <v>65</v>
      </c>
      <c r="O337" s="11">
        <v>249.25</v>
      </c>
      <c r="P337" s="13">
        <v>4.5579999999999998</v>
      </c>
      <c r="Q337" s="11">
        <f t="shared" si="73"/>
        <v>56.974999999999994</v>
      </c>
      <c r="R337" s="20">
        <f t="shared" si="74"/>
        <v>22.858575727181542</v>
      </c>
      <c r="S337" s="20">
        <f t="shared" si="75"/>
        <v>0.2285857572718154</v>
      </c>
      <c r="T337" s="15">
        <f t="shared" si="76"/>
        <v>0.53717652958876627</v>
      </c>
      <c r="U337" s="15">
        <f t="shared" si="77"/>
        <v>6.2698829708595438</v>
      </c>
      <c r="V337" s="21">
        <v>3.7400000000000003E-2</v>
      </c>
      <c r="W337" s="20">
        <f t="shared" si="78"/>
        <v>10.326871434839841</v>
      </c>
      <c r="X337" s="20">
        <f t="shared" si="79"/>
        <v>31.74</v>
      </c>
      <c r="Y337" s="21">
        <f t="shared" si="80"/>
        <v>0.1449575754069394</v>
      </c>
      <c r="Z337" s="21">
        <f t="shared" si="81"/>
        <v>0.14970457129913745</v>
      </c>
      <c r="AA337" s="21">
        <f t="shared" si="82"/>
        <v>7.3304000000000008E-2</v>
      </c>
      <c r="AB337" s="21">
        <f t="shared" si="83"/>
        <v>0.29342095974630938</v>
      </c>
    </row>
    <row r="338" spans="1:28" ht="16" customHeight="1" x14ac:dyDescent="0.2">
      <c r="A338" t="s">
        <v>498</v>
      </c>
      <c r="B338" t="s">
        <v>499</v>
      </c>
      <c r="C338" t="s">
        <v>718</v>
      </c>
      <c r="D338" t="s">
        <v>719</v>
      </c>
      <c r="E338" t="s">
        <v>502</v>
      </c>
      <c r="F338" t="s">
        <v>38</v>
      </c>
      <c r="G338" t="s">
        <v>503</v>
      </c>
      <c r="H338" s="15">
        <v>117</v>
      </c>
      <c r="I338" s="15">
        <f t="shared" si="84"/>
        <v>3.9318141382538383</v>
      </c>
      <c r="J338" s="17">
        <v>1.33</v>
      </c>
      <c r="K338" s="17">
        <v>476000</v>
      </c>
      <c r="L338" s="11" t="s">
        <v>35</v>
      </c>
      <c r="M338" s="11" t="s">
        <v>35</v>
      </c>
      <c r="N338" s="14">
        <v>65</v>
      </c>
      <c r="O338" s="11">
        <v>249.41</v>
      </c>
      <c r="P338" s="13">
        <v>6.4889999999999999</v>
      </c>
      <c r="Q338" s="11">
        <f t="shared" si="73"/>
        <v>81.112499999999997</v>
      </c>
      <c r="R338" s="20">
        <f t="shared" si="74"/>
        <v>32.521751333146227</v>
      </c>
      <c r="S338" s="20">
        <f t="shared" si="75"/>
        <v>0.32521751333146226</v>
      </c>
      <c r="T338" s="15">
        <f t="shared" si="76"/>
        <v>38.050449059781087</v>
      </c>
      <c r="U338" s="15">
        <f t="shared" si="77"/>
        <v>4.4196402134523005</v>
      </c>
      <c r="V338" s="21">
        <v>0.14000000000000001</v>
      </c>
      <c r="W338" s="20">
        <f t="shared" si="78"/>
        <v>7.509714902142087</v>
      </c>
      <c r="X338" s="20">
        <f t="shared" si="79"/>
        <v>31.74</v>
      </c>
      <c r="Y338" s="21">
        <f t="shared" si="80"/>
        <v>0.14165081721365916</v>
      </c>
      <c r="Z338" s="21">
        <f t="shared" si="81"/>
        <v>0.19916062366165027</v>
      </c>
      <c r="AA338" s="21">
        <f t="shared" si="82"/>
        <v>0.27440000000000003</v>
      </c>
      <c r="AB338" s="21">
        <f t="shared" si="83"/>
        <v>0.3903548223768345</v>
      </c>
    </row>
    <row r="339" spans="1:28" ht="16" customHeight="1" x14ac:dyDescent="0.2">
      <c r="A339" t="s">
        <v>498</v>
      </c>
      <c r="B339" t="s">
        <v>499</v>
      </c>
      <c r="C339" t="s">
        <v>720</v>
      </c>
      <c r="D339" t="s">
        <v>721</v>
      </c>
      <c r="E339" t="s">
        <v>502</v>
      </c>
      <c r="F339" t="s">
        <v>33</v>
      </c>
      <c r="G339" t="s">
        <v>503</v>
      </c>
      <c r="H339" s="15">
        <v>9.41</v>
      </c>
      <c r="I339" s="15">
        <f t="shared" si="84"/>
        <v>5.026410376572743</v>
      </c>
      <c r="J339" s="17">
        <v>0.57499999999999996</v>
      </c>
      <c r="K339" s="17">
        <v>239000</v>
      </c>
      <c r="L339" s="11" t="s">
        <v>247</v>
      </c>
      <c r="M339" s="11" t="s">
        <v>247</v>
      </c>
      <c r="N339" s="14">
        <v>20</v>
      </c>
      <c r="O339" s="11">
        <v>498.62</v>
      </c>
      <c r="P339" s="13">
        <v>20.91</v>
      </c>
      <c r="Q339" s="11">
        <f t="shared" si="73"/>
        <v>261.375</v>
      </c>
      <c r="R339" s="20">
        <f t="shared" si="74"/>
        <v>52.419678312141514</v>
      </c>
      <c r="S339" s="20">
        <f t="shared" si="75"/>
        <v>0.52419678312141516</v>
      </c>
      <c r="T339" s="15">
        <f t="shared" si="76"/>
        <v>4.9326917291725163</v>
      </c>
      <c r="U339" s="15">
        <f t="shared" si="77"/>
        <v>5.3069160251222245</v>
      </c>
      <c r="V339" s="21">
        <v>9.2999999999999999E-2</v>
      </c>
      <c r="W339" s="20">
        <f t="shared" si="78"/>
        <v>2.9236059301769486</v>
      </c>
      <c r="X339" s="20">
        <f t="shared" si="79"/>
        <v>31.74</v>
      </c>
      <c r="Y339" s="21">
        <f t="shared" si="80"/>
        <v>0.13842860339632371</v>
      </c>
      <c r="Z339" s="21">
        <f t="shared" si="81"/>
        <v>0.16676773740222262</v>
      </c>
      <c r="AA339" s="21">
        <f t="shared" si="82"/>
        <v>0.18228</v>
      </c>
      <c r="AB339" s="21">
        <f t="shared" si="83"/>
        <v>0.32686476530835634</v>
      </c>
    </row>
    <row r="340" spans="1:28" ht="16" customHeight="1" x14ac:dyDescent="0.2">
      <c r="A340" t="s">
        <v>498</v>
      </c>
      <c r="B340" t="s">
        <v>499</v>
      </c>
      <c r="C340" t="s">
        <v>722</v>
      </c>
      <c r="D340" t="s">
        <v>723</v>
      </c>
      <c r="E340" t="s">
        <v>502</v>
      </c>
      <c r="F340" t="s">
        <v>38</v>
      </c>
      <c r="G340" t="s">
        <v>503</v>
      </c>
      <c r="H340" s="15">
        <v>543</v>
      </c>
      <c r="I340" s="15">
        <f t="shared" si="84"/>
        <v>3.2652001704111533</v>
      </c>
      <c r="J340" s="17">
        <v>1.27</v>
      </c>
      <c r="K340" s="17">
        <v>440000</v>
      </c>
      <c r="L340" s="11" t="s">
        <v>35</v>
      </c>
      <c r="M340" s="11" t="s">
        <v>81</v>
      </c>
      <c r="N340" s="14">
        <v>65</v>
      </c>
      <c r="O340" s="11">
        <v>250.27</v>
      </c>
      <c r="P340" s="23" t="s">
        <v>82</v>
      </c>
      <c r="Q340" s="11" t="str">
        <f t="shared" si="73"/>
        <v>-</v>
      </c>
      <c r="R340" s="24" t="str">
        <f t="shared" si="74"/>
        <v>-</v>
      </c>
      <c r="S340" s="20" t="str">
        <f t="shared" si="75"/>
        <v>-</v>
      </c>
      <c r="T340" s="15" t="str">
        <f t="shared" si="76"/>
        <v>-</v>
      </c>
      <c r="U340" s="15" t="str">
        <f t="shared" si="77"/>
        <v>-</v>
      </c>
      <c r="V340" s="21">
        <v>0.32900000000000001</v>
      </c>
      <c r="W340" s="20" t="str">
        <f t="shared" si="78"/>
        <v>-</v>
      </c>
      <c r="X340" s="20" t="str">
        <f t="shared" si="79"/>
        <v>-</v>
      </c>
      <c r="Y340" s="21" t="str">
        <f t="shared" si="80"/>
        <v>-</v>
      </c>
      <c r="Z340" s="21" t="str">
        <f t="shared" si="81"/>
        <v>-</v>
      </c>
      <c r="AA340" s="21">
        <f t="shared" si="82"/>
        <v>0.64483999999999997</v>
      </c>
      <c r="AB340" s="21" t="str">
        <f t="shared" si="83"/>
        <v>-</v>
      </c>
    </row>
    <row r="341" spans="1:28" ht="16" customHeight="1" x14ac:dyDescent="0.2">
      <c r="A341" t="s">
        <v>498</v>
      </c>
      <c r="B341" t="s">
        <v>499</v>
      </c>
      <c r="C341" t="s">
        <v>724</v>
      </c>
      <c r="D341" t="s">
        <v>725</v>
      </c>
      <c r="E341" t="s">
        <v>502</v>
      </c>
      <c r="F341" t="s">
        <v>33</v>
      </c>
      <c r="G341" t="s">
        <v>503</v>
      </c>
      <c r="H341" s="15">
        <v>5.13</v>
      </c>
      <c r="I341" s="15">
        <f t="shared" si="84"/>
        <v>5.2898826348881833</v>
      </c>
      <c r="J341" s="17">
        <v>0.88500000000000001</v>
      </c>
      <c r="K341" s="17">
        <v>328000</v>
      </c>
      <c r="L341" s="11" t="s">
        <v>35</v>
      </c>
      <c r="M341" s="11" t="s">
        <v>35</v>
      </c>
      <c r="N341" s="14">
        <v>65</v>
      </c>
      <c r="O341" s="11">
        <v>250.39</v>
      </c>
      <c r="P341" s="13">
        <v>11.664999999999999</v>
      </c>
      <c r="Q341" s="11">
        <f t="shared" si="73"/>
        <v>145.8125</v>
      </c>
      <c r="R341" s="20">
        <f t="shared" si="74"/>
        <v>58.234154718638933</v>
      </c>
      <c r="S341" s="20">
        <f t="shared" si="75"/>
        <v>0.58234154718638931</v>
      </c>
      <c r="T341" s="15">
        <f t="shared" si="76"/>
        <v>2.987412137066177</v>
      </c>
      <c r="U341" s="15">
        <f t="shared" si="77"/>
        <v>5.5247048589135819</v>
      </c>
      <c r="V341" s="21">
        <v>6.2899999999999998E-2</v>
      </c>
      <c r="W341" s="20">
        <f t="shared" si="78"/>
        <v>4.5590998714102016</v>
      </c>
      <c r="X341" s="20">
        <f t="shared" si="79"/>
        <v>31.74</v>
      </c>
      <c r="Y341" s="21">
        <f t="shared" si="80"/>
        <v>0.13925982810636231</v>
      </c>
      <c r="Z341" s="21">
        <f t="shared" si="81"/>
        <v>0.15280611808502165</v>
      </c>
      <c r="AA341" s="21">
        <f t="shared" si="82"/>
        <v>0.12328399999999999</v>
      </c>
      <c r="AB341" s="21">
        <f t="shared" si="83"/>
        <v>0.29949999144664241</v>
      </c>
    </row>
    <row r="342" spans="1:28" ht="16" customHeight="1" x14ac:dyDescent="0.2">
      <c r="A342" t="s">
        <v>498</v>
      </c>
      <c r="B342" t="s">
        <v>499</v>
      </c>
      <c r="C342" t="s">
        <v>726</v>
      </c>
      <c r="D342" t="s">
        <v>727</v>
      </c>
      <c r="E342" t="s">
        <v>502</v>
      </c>
      <c r="F342" t="s">
        <v>33</v>
      </c>
      <c r="G342" t="s">
        <v>503</v>
      </c>
      <c r="H342" s="15">
        <v>4.43</v>
      </c>
      <c r="I342" s="15">
        <f t="shared" si="84"/>
        <v>5.3535962737769305</v>
      </c>
      <c r="J342" s="17">
        <v>1.27</v>
      </c>
      <c r="K342" s="17">
        <v>500000</v>
      </c>
      <c r="L342" s="11" t="s">
        <v>35</v>
      </c>
      <c r="M342" s="11" t="s">
        <v>35</v>
      </c>
      <c r="N342" s="14">
        <v>65</v>
      </c>
      <c r="O342" s="11">
        <v>249.72</v>
      </c>
      <c r="P342" s="13">
        <v>18.721</v>
      </c>
      <c r="Q342" s="11">
        <f t="shared" si="73"/>
        <v>234.01249999999999</v>
      </c>
      <c r="R342" s="20">
        <f t="shared" si="74"/>
        <v>93.709955149767737</v>
      </c>
      <c r="S342" s="20">
        <f t="shared" si="75"/>
        <v>0.93709955149767732</v>
      </c>
      <c r="T342" s="15">
        <f t="shared" si="76"/>
        <v>4.1513510131347102</v>
      </c>
      <c r="U342" s="15">
        <f t="shared" si="77"/>
        <v>5.3818105437541073</v>
      </c>
      <c r="V342" s="21">
        <v>9.8199999999999996E-2</v>
      </c>
      <c r="W342" s="20">
        <f t="shared" si="78"/>
        <v>3.1648982426152448</v>
      </c>
      <c r="X342" s="20">
        <f t="shared" si="79"/>
        <v>31.74</v>
      </c>
      <c r="Y342" s="21">
        <f t="shared" si="80"/>
        <v>0.13852865175533921</v>
      </c>
      <c r="Z342" s="21">
        <f t="shared" si="81"/>
        <v>0.16980408521926688</v>
      </c>
      <c r="AA342" s="21">
        <f t="shared" si="82"/>
        <v>0.19247199999999998</v>
      </c>
      <c r="AB342" s="21">
        <f t="shared" si="83"/>
        <v>0.33281600702976305</v>
      </c>
    </row>
    <row r="343" spans="1:28" ht="16" customHeight="1" x14ac:dyDescent="0.2">
      <c r="A343" t="s">
        <v>498</v>
      </c>
      <c r="B343" t="s">
        <v>499</v>
      </c>
      <c r="C343" t="s">
        <v>728</v>
      </c>
      <c r="D343" t="s">
        <v>729</v>
      </c>
      <c r="E343" t="s">
        <v>502</v>
      </c>
      <c r="F343" t="s">
        <v>38</v>
      </c>
      <c r="G343" t="s">
        <v>503</v>
      </c>
      <c r="H343" s="15">
        <v>166</v>
      </c>
      <c r="I343" s="15">
        <f t="shared" si="84"/>
        <v>3.779891911959945</v>
      </c>
      <c r="J343" s="17">
        <v>1.29</v>
      </c>
      <c r="K343" s="17">
        <v>507000</v>
      </c>
      <c r="L343" s="11" t="s">
        <v>35</v>
      </c>
      <c r="M343" s="11" t="s">
        <v>81</v>
      </c>
      <c r="N343" s="14">
        <v>65</v>
      </c>
      <c r="O343" s="11">
        <v>250.28</v>
      </c>
      <c r="P343" s="23" t="s">
        <v>82</v>
      </c>
      <c r="Q343" s="11" t="str">
        <f t="shared" si="73"/>
        <v>-</v>
      </c>
      <c r="R343" s="24" t="str">
        <f t="shared" si="74"/>
        <v>-</v>
      </c>
      <c r="S343" s="20" t="str">
        <f t="shared" si="75"/>
        <v>-</v>
      </c>
      <c r="T343" s="15" t="str">
        <f t="shared" si="76"/>
        <v>-</v>
      </c>
      <c r="U343" s="15" t="str">
        <f t="shared" si="77"/>
        <v>-</v>
      </c>
      <c r="V343" s="21">
        <v>0.20499999999999999</v>
      </c>
      <c r="W343" s="20" t="str">
        <f t="shared" si="78"/>
        <v>-</v>
      </c>
      <c r="X343" s="20" t="str">
        <f t="shared" si="79"/>
        <v>-</v>
      </c>
      <c r="Y343" s="21" t="str">
        <f t="shared" si="80"/>
        <v>-</v>
      </c>
      <c r="Z343" s="21" t="str">
        <f t="shared" si="81"/>
        <v>-</v>
      </c>
      <c r="AA343" s="21">
        <f t="shared" si="82"/>
        <v>0.40179999999999999</v>
      </c>
      <c r="AB343" s="21" t="str">
        <f t="shared" si="83"/>
        <v>-</v>
      </c>
    </row>
    <row r="344" spans="1:28" ht="16" customHeight="1" x14ac:dyDescent="0.2">
      <c r="A344" t="s">
        <v>498</v>
      </c>
      <c r="B344" t="s">
        <v>499</v>
      </c>
      <c r="C344" t="s">
        <v>730</v>
      </c>
      <c r="D344" t="s">
        <v>731</v>
      </c>
      <c r="E344" t="s">
        <v>502</v>
      </c>
      <c r="F344" t="s">
        <v>38</v>
      </c>
      <c r="G344" t="s">
        <v>503</v>
      </c>
      <c r="H344" s="15">
        <v>914</v>
      </c>
      <c r="I344" s="15">
        <f t="shared" si="84"/>
        <v>3.0390538042661688</v>
      </c>
      <c r="J344" s="17">
        <v>1.6</v>
      </c>
      <c r="K344" s="17">
        <v>557000</v>
      </c>
      <c r="L344" s="11" t="s">
        <v>35</v>
      </c>
      <c r="M344" s="11" t="s">
        <v>35</v>
      </c>
      <c r="N344" s="14">
        <v>65</v>
      </c>
      <c r="O344" s="11">
        <v>249.76</v>
      </c>
      <c r="P344" s="13">
        <v>14.528</v>
      </c>
      <c r="Q344" s="11">
        <f t="shared" si="73"/>
        <v>181.6</v>
      </c>
      <c r="R344" s="20">
        <f t="shared" si="74"/>
        <v>72.709801409352977</v>
      </c>
      <c r="S344" s="20">
        <f t="shared" si="75"/>
        <v>0.72709801409352981</v>
      </c>
      <c r="T344" s="15">
        <f t="shared" si="76"/>
        <v>664.56758488148625</v>
      </c>
      <c r="U344" s="15">
        <f t="shared" si="77"/>
        <v>3.1774608457994447</v>
      </c>
      <c r="V344" s="21">
        <v>0.252</v>
      </c>
      <c r="W344" s="20">
        <f t="shared" si="78"/>
        <v>3.8301266519823787</v>
      </c>
      <c r="X344" s="20">
        <f t="shared" si="79"/>
        <v>31.74</v>
      </c>
      <c r="Y344" s="21">
        <f t="shared" si="80"/>
        <v>0.1388450713421559</v>
      </c>
      <c r="Z344" s="21">
        <f t="shared" si="81"/>
        <v>0.28771853231241185</v>
      </c>
      <c r="AA344" s="21">
        <f t="shared" si="82"/>
        <v>0.49391999999999997</v>
      </c>
      <c r="AB344" s="21">
        <f t="shared" si="83"/>
        <v>0.56392832333232723</v>
      </c>
    </row>
    <row r="345" spans="1:28" ht="16" customHeight="1" x14ac:dyDescent="0.2">
      <c r="A345" t="s">
        <v>498</v>
      </c>
      <c r="B345" t="s">
        <v>499</v>
      </c>
      <c r="C345" t="s">
        <v>732</v>
      </c>
      <c r="D345" t="s">
        <v>733</v>
      </c>
      <c r="E345" t="s">
        <v>502</v>
      </c>
      <c r="F345" t="s">
        <v>33</v>
      </c>
      <c r="G345" t="s">
        <v>503</v>
      </c>
      <c r="H345" s="15">
        <v>7.18</v>
      </c>
      <c r="I345" s="15">
        <f t="shared" si="84"/>
        <v>5.1438755557576998</v>
      </c>
      <c r="J345" s="17">
        <v>1.3</v>
      </c>
      <c r="K345" s="17">
        <v>510000</v>
      </c>
      <c r="L345" s="11" t="s">
        <v>35</v>
      </c>
      <c r="M345" s="11" t="s">
        <v>35</v>
      </c>
      <c r="N345" s="14">
        <v>65</v>
      </c>
      <c r="O345" s="11">
        <v>250.55</v>
      </c>
      <c r="P345" s="13">
        <v>6.7590000000000003</v>
      </c>
      <c r="Q345" s="11">
        <f t="shared" si="73"/>
        <v>84.487500000000011</v>
      </c>
      <c r="R345" s="20">
        <f t="shared" si="74"/>
        <v>33.720814208740777</v>
      </c>
      <c r="S345" s="20">
        <f t="shared" si="75"/>
        <v>0.33720814208740779</v>
      </c>
      <c r="T345" s="15">
        <f t="shared" si="76"/>
        <v>2.4211544601875881</v>
      </c>
      <c r="U345" s="15">
        <f t="shared" si="77"/>
        <v>5.6159775033846451</v>
      </c>
      <c r="V345" s="21">
        <v>5.9299999999999999E-2</v>
      </c>
      <c r="W345" s="20">
        <f t="shared" si="78"/>
        <v>7.2440804852788876</v>
      </c>
      <c r="X345" s="20">
        <f t="shared" si="79"/>
        <v>31.74</v>
      </c>
      <c r="Y345" s="21">
        <f t="shared" si="80"/>
        <v>0.14138965629942332</v>
      </c>
      <c r="Z345" s="21">
        <f t="shared" si="81"/>
        <v>0.15332163874831581</v>
      </c>
      <c r="AA345" s="21">
        <f t="shared" si="82"/>
        <v>0.116228</v>
      </c>
      <c r="AB345" s="21">
        <f t="shared" si="83"/>
        <v>0.30051041194669897</v>
      </c>
    </row>
    <row r="346" spans="1:28" ht="16" customHeight="1" x14ac:dyDescent="0.2">
      <c r="A346" t="s">
        <v>498</v>
      </c>
      <c r="B346" t="s">
        <v>499</v>
      </c>
      <c r="C346" t="s">
        <v>734</v>
      </c>
      <c r="D346" t="s">
        <v>735</v>
      </c>
      <c r="E346" t="s">
        <v>502</v>
      </c>
      <c r="F346" t="s">
        <v>33</v>
      </c>
      <c r="G346" t="s">
        <v>503</v>
      </c>
      <c r="H346" s="15">
        <v>30.6</v>
      </c>
      <c r="I346" s="15">
        <f t="shared" si="84"/>
        <v>4.5142785735184203</v>
      </c>
      <c r="J346" s="17">
        <v>1.59</v>
      </c>
      <c r="K346" s="17">
        <v>533000</v>
      </c>
      <c r="L346" s="11" t="s">
        <v>247</v>
      </c>
      <c r="M346" s="11" t="s">
        <v>247</v>
      </c>
      <c r="N346" s="14">
        <v>20</v>
      </c>
      <c r="O346" s="11">
        <v>499.66</v>
      </c>
      <c r="P346" s="13">
        <v>9.68</v>
      </c>
      <c r="Q346" s="11">
        <f t="shared" si="73"/>
        <v>121</v>
      </c>
      <c r="R346" s="20">
        <f t="shared" si="74"/>
        <v>24.216467197694431</v>
      </c>
      <c r="S346" s="20">
        <f t="shared" si="75"/>
        <v>0.2421646719769443</v>
      </c>
      <c r="T346" s="15">
        <f t="shared" si="76"/>
        <v>7.4102389624944962</v>
      </c>
      <c r="U346" s="15">
        <f t="shared" si="77"/>
        <v>5.1301677868358686</v>
      </c>
      <c r="V346" s="21">
        <v>0.14099999999999999</v>
      </c>
      <c r="W346" s="20">
        <f t="shared" si="78"/>
        <v>5.317644628099174</v>
      </c>
      <c r="X346" s="20">
        <f t="shared" si="79"/>
        <v>31.74</v>
      </c>
      <c r="Y346" s="21">
        <f t="shared" si="80"/>
        <v>0.13976625743177745</v>
      </c>
      <c r="Z346" s="21">
        <f t="shared" si="81"/>
        <v>0.19853364127141246</v>
      </c>
      <c r="AA346" s="21">
        <f t="shared" si="82"/>
        <v>0.27635999999999999</v>
      </c>
      <c r="AB346" s="21">
        <f t="shared" si="83"/>
        <v>0.38912593689196839</v>
      </c>
    </row>
    <row r="347" spans="1:28" ht="16" customHeight="1" x14ac:dyDescent="0.2">
      <c r="A347" t="s">
        <v>498</v>
      </c>
      <c r="B347" t="s">
        <v>499</v>
      </c>
      <c r="C347" t="s">
        <v>736</v>
      </c>
      <c r="D347" t="s">
        <v>737</v>
      </c>
      <c r="E347" t="s">
        <v>502</v>
      </c>
      <c r="F347" t="s">
        <v>33</v>
      </c>
      <c r="G347" t="s">
        <v>503</v>
      </c>
      <c r="H347" s="15">
        <v>2.39</v>
      </c>
      <c r="I347" s="15">
        <f t="shared" si="84"/>
        <v>5.621602099051862</v>
      </c>
      <c r="J347" s="17">
        <v>0.64300000000000002</v>
      </c>
      <c r="K347" s="17">
        <v>295000</v>
      </c>
      <c r="L347" s="11" t="s">
        <v>35</v>
      </c>
      <c r="M347" s="11" t="s">
        <v>35</v>
      </c>
      <c r="N347" s="14">
        <v>65</v>
      </c>
      <c r="O347" s="11">
        <v>250.14</v>
      </c>
      <c r="P347" s="13">
        <v>5.0010000000000003</v>
      </c>
      <c r="Q347" s="11">
        <f t="shared" si="73"/>
        <v>62.512500000000003</v>
      </c>
      <c r="R347" s="20">
        <f t="shared" si="74"/>
        <v>24.991005037179182</v>
      </c>
      <c r="S347" s="20">
        <f t="shared" si="75"/>
        <v>0.24991005037179181</v>
      </c>
      <c r="T347" s="15">
        <f t="shared" si="76"/>
        <v>0.59728502038858244</v>
      </c>
      <c r="U347" s="15">
        <f t="shared" si="77"/>
        <v>6.2238183770060793</v>
      </c>
      <c r="V347" s="21">
        <v>5.4600000000000003E-2</v>
      </c>
      <c r="W347" s="20">
        <f t="shared" si="78"/>
        <v>9.4882743451309732</v>
      </c>
      <c r="X347" s="20">
        <f t="shared" si="79"/>
        <v>31.74</v>
      </c>
      <c r="Y347" s="21">
        <f t="shared" si="80"/>
        <v>0.1438724575874194</v>
      </c>
      <c r="Z347" s="21">
        <f t="shared" si="81"/>
        <v>0.15388451531016301</v>
      </c>
      <c r="AA347" s="21">
        <f t="shared" si="82"/>
        <v>0.107016</v>
      </c>
      <c r="AB347" s="21">
        <f t="shared" si="83"/>
        <v>0.30161365000791951</v>
      </c>
    </row>
    <row r="348" spans="1:28" ht="16" customHeight="1" x14ac:dyDescent="0.2">
      <c r="A348" t="s">
        <v>498</v>
      </c>
      <c r="B348" t="s">
        <v>499</v>
      </c>
      <c r="C348" t="s">
        <v>738</v>
      </c>
      <c r="D348" t="s">
        <v>739</v>
      </c>
      <c r="E348" t="s">
        <v>502</v>
      </c>
      <c r="F348" t="s">
        <v>33</v>
      </c>
      <c r="G348" t="s">
        <v>503</v>
      </c>
      <c r="H348" s="15">
        <v>17.100000000000001</v>
      </c>
      <c r="I348" s="15">
        <f t="shared" si="84"/>
        <v>4.7670038896078459</v>
      </c>
      <c r="J348" s="17">
        <v>1.46</v>
      </c>
      <c r="K348" s="17">
        <v>564000</v>
      </c>
      <c r="L348" s="11" t="s">
        <v>247</v>
      </c>
      <c r="M348" s="11" t="s">
        <v>247</v>
      </c>
      <c r="N348" s="14">
        <v>20</v>
      </c>
      <c r="O348" s="11">
        <v>499.66</v>
      </c>
      <c r="P348" s="13">
        <v>14.61</v>
      </c>
      <c r="Q348" s="11">
        <f t="shared" si="73"/>
        <v>182.625</v>
      </c>
      <c r="R348" s="20">
        <f t="shared" si="74"/>
        <v>36.549853900652437</v>
      </c>
      <c r="S348" s="20">
        <f t="shared" si="75"/>
        <v>0.36549853900652435</v>
      </c>
      <c r="T348" s="15">
        <f t="shared" si="76"/>
        <v>6.2500250170115672</v>
      </c>
      <c r="U348" s="15">
        <f t="shared" si="77"/>
        <v>5.2041182442993916</v>
      </c>
      <c r="V348" s="21">
        <v>0.12</v>
      </c>
      <c r="W348" s="20">
        <f t="shared" si="78"/>
        <v>3.8134565366187543</v>
      </c>
      <c r="X348" s="20">
        <f t="shared" si="79"/>
        <v>31.74</v>
      </c>
      <c r="Y348" s="21">
        <f t="shared" si="80"/>
        <v>0.13883641653696721</v>
      </c>
      <c r="Z348" s="21">
        <f t="shared" si="81"/>
        <v>0.18350899312247959</v>
      </c>
      <c r="AA348" s="21">
        <f t="shared" si="82"/>
        <v>0.23519999999999999</v>
      </c>
      <c r="AB348" s="21">
        <f t="shared" si="83"/>
        <v>0.35967762652005997</v>
      </c>
    </row>
    <row r="349" spans="1:28" ht="16" customHeight="1" x14ac:dyDescent="0.2">
      <c r="A349" t="s">
        <v>498</v>
      </c>
      <c r="B349" t="s">
        <v>499</v>
      </c>
      <c r="C349" t="s">
        <v>740</v>
      </c>
      <c r="D349" t="s">
        <v>741</v>
      </c>
      <c r="E349" t="s">
        <v>502</v>
      </c>
      <c r="F349" t="s">
        <v>38</v>
      </c>
      <c r="G349" t="s">
        <v>503</v>
      </c>
      <c r="H349" s="15">
        <v>284</v>
      </c>
      <c r="I349" s="15">
        <f t="shared" si="84"/>
        <v>3.5466816599529625</v>
      </c>
      <c r="J349" s="17">
        <v>1.31</v>
      </c>
      <c r="K349" s="17">
        <v>470000</v>
      </c>
      <c r="L349" s="11" t="s">
        <v>35</v>
      </c>
      <c r="M349" s="11" t="s">
        <v>81</v>
      </c>
      <c r="N349" s="14">
        <v>65</v>
      </c>
      <c r="O349" s="11">
        <v>249.85</v>
      </c>
      <c r="P349" s="23" t="s">
        <v>82</v>
      </c>
      <c r="Q349" s="11" t="str">
        <f t="shared" si="73"/>
        <v>-</v>
      </c>
      <c r="R349" s="24" t="str">
        <f t="shared" si="74"/>
        <v>-</v>
      </c>
      <c r="S349" s="20" t="str">
        <f t="shared" si="75"/>
        <v>-</v>
      </c>
      <c r="T349" s="15" t="str">
        <f t="shared" si="76"/>
        <v>-</v>
      </c>
      <c r="U349" s="15" t="str">
        <f t="shared" si="77"/>
        <v>-</v>
      </c>
      <c r="V349" s="21">
        <v>0.248</v>
      </c>
      <c r="W349" s="20" t="str">
        <f t="shared" si="78"/>
        <v>-</v>
      </c>
      <c r="X349" s="20" t="str">
        <f t="shared" si="79"/>
        <v>-</v>
      </c>
      <c r="Y349" s="21" t="str">
        <f t="shared" si="80"/>
        <v>-</v>
      </c>
      <c r="Z349" s="21" t="str">
        <f t="shared" si="81"/>
        <v>-</v>
      </c>
      <c r="AA349" s="21">
        <f t="shared" si="82"/>
        <v>0.48608000000000001</v>
      </c>
      <c r="AB349" s="21" t="str">
        <f t="shared" si="83"/>
        <v>-</v>
      </c>
    </row>
    <row r="350" spans="1:28" ht="16" customHeight="1" x14ac:dyDescent="0.2">
      <c r="A350" t="s">
        <v>498</v>
      </c>
      <c r="B350" t="s">
        <v>499</v>
      </c>
      <c r="C350" t="s">
        <v>742</v>
      </c>
      <c r="D350" t="s">
        <v>743</v>
      </c>
      <c r="E350" t="s">
        <v>502</v>
      </c>
      <c r="F350" t="s">
        <v>33</v>
      </c>
      <c r="G350" t="s">
        <v>503</v>
      </c>
      <c r="H350" s="15">
        <v>3.74</v>
      </c>
      <c r="I350" s="15">
        <f t="shared" si="84"/>
        <v>5.4271283977995202</v>
      </c>
      <c r="J350" s="17">
        <v>0.76500000000000001</v>
      </c>
      <c r="K350" s="17">
        <v>335000</v>
      </c>
      <c r="L350" s="11" t="s">
        <v>35</v>
      </c>
      <c r="M350" s="11" t="s">
        <v>35</v>
      </c>
      <c r="N350" s="14">
        <v>65</v>
      </c>
      <c r="O350" s="11">
        <v>250.53</v>
      </c>
      <c r="P350" s="13">
        <v>3.5009999999999999</v>
      </c>
      <c r="Q350" s="11">
        <f t="shared" si="73"/>
        <v>43.762499999999996</v>
      </c>
      <c r="R350" s="20">
        <f t="shared" si="74"/>
        <v>17.467967908034964</v>
      </c>
      <c r="S350" s="20">
        <f t="shared" si="75"/>
        <v>0.17467967908034965</v>
      </c>
      <c r="T350" s="15">
        <f t="shared" si="76"/>
        <v>0.65330199976050773</v>
      </c>
      <c r="U350" s="15">
        <f t="shared" si="77"/>
        <v>6.1848860124306917</v>
      </c>
      <c r="V350" s="21">
        <v>5.8700000000000002E-2</v>
      </c>
      <c r="W350" s="20">
        <f t="shared" si="78"/>
        <v>13.185049985718365</v>
      </c>
      <c r="X350" s="20">
        <f t="shared" si="79"/>
        <v>31.74</v>
      </c>
      <c r="Y350" s="21">
        <f t="shared" si="80"/>
        <v>0.14926551248001579</v>
      </c>
      <c r="Z350" s="21">
        <f t="shared" si="81"/>
        <v>0.16039290263575179</v>
      </c>
      <c r="AA350" s="21">
        <f t="shared" si="82"/>
        <v>0.115052</v>
      </c>
      <c r="AB350" s="21">
        <f t="shared" si="83"/>
        <v>0.31437008916607351</v>
      </c>
    </row>
    <row r="351" spans="1:28" ht="16" customHeight="1" x14ac:dyDescent="0.2">
      <c r="A351" t="s">
        <v>498</v>
      </c>
      <c r="B351" t="s">
        <v>499</v>
      </c>
      <c r="C351" t="s">
        <v>744</v>
      </c>
      <c r="D351" t="s">
        <v>745</v>
      </c>
      <c r="E351" t="s">
        <v>502</v>
      </c>
      <c r="F351" t="s">
        <v>38</v>
      </c>
      <c r="G351" t="s">
        <v>503</v>
      </c>
      <c r="H351" s="15">
        <v>12700</v>
      </c>
      <c r="I351" s="15">
        <f t="shared" si="84"/>
        <v>1.8961962790440432</v>
      </c>
      <c r="J351" s="17">
        <v>1.27</v>
      </c>
      <c r="K351" s="17">
        <v>457000</v>
      </c>
      <c r="L351" s="11" t="s">
        <v>35</v>
      </c>
      <c r="M351" s="11" t="s">
        <v>81</v>
      </c>
      <c r="N351" s="14">
        <v>65</v>
      </c>
      <c r="O351" s="11">
        <v>249.76</v>
      </c>
      <c r="P351" s="23" t="s">
        <v>82</v>
      </c>
      <c r="Q351" s="11" t="str">
        <f t="shared" si="73"/>
        <v>-</v>
      </c>
      <c r="R351" s="24" t="str">
        <f t="shared" si="74"/>
        <v>-</v>
      </c>
      <c r="S351" s="20" t="str">
        <f t="shared" si="75"/>
        <v>-</v>
      </c>
      <c r="T351" s="15" t="str">
        <f t="shared" si="76"/>
        <v>-</v>
      </c>
      <c r="U351" s="15" t="str">
        <f t="shared" si="77"/>
        <v>-</v>
      </c>
      <c r="V351" s="21">
        <v>0.62</v>
      </c>
      <c r="W351" s="20" t="str">
        <f t="shared" si="78"/>
        <v>-</v>
      </c>
      <c r="X351" s="20" t="str">
        <f t="shared" si="79"/>
        <v>-</v>
      </c>
      <c r="Y351" s="21" t="str">
        <f t="shared" si="80"/>
        <v>-</v>
      </c>
      <c r="Z351" s="21" t="str">
        <f t="shared" si="81"/>
        <v>-</v>
      </c>
      <c r="AA351" s="21">
        <f t="shared" si="82"/>
        <v>1.2152000000000001</v>
      </c>
      <c r="AB351" s="21" t="str">
        <f t="shared" si="83"/>
        <v>-</v>
      </c>
    </row>
    <row r="352" spans="1:28" ht="16" customHeight="1" x14ac:dyDescent="0.2">
      <c r="A352" t="s">
        <v>498</v>
      </c>
      <c r="B352" t="s">
        <v>499</v>
      </c>
      <c r="C352" t="s">
        <v>746</v>
      </c>
      <c r="D352" t="s">
        <v>747</v>
      </c>
      <c r="E352" t="s">
        <v>502</v>
      </c>
      <c r="F352" t="s">
        <v>33</v>
      </c>
      <c r="G352" t="s">
        <v>503</v>
      </c>
      <c r="H352" s="15">
        <v>12.6</v>
      </c>
      <c r="I352" s="15">
        <f t="shared" si="84"/>
        <v>4.8996294548824375</v>
      </c>
      <c r="J352" s="17">
        <v>1.1100000000000001</v>
      </c>
      <c r="K352" s="17">
        <v>409000</v>
      </c>
      <c r="L352" s="11" t="s">
        <v>35</v>
      </c>
      <c r="M352" s="11" t="s">
        <v>81</v>
      </c>
      <c r="N352" s="14">
        <v>65</v>
      </c>
      <c r="O352" s="11">
        <v>249.44</v>
      </c>
      <c r="P352" s="23" t="s">
        <v>82</v>
      </c>
      <c r="Q352" s="11" t="str">
        <f t="shared" si="73"/>
        <v>-</v>
      </c>
      <c r="R352" s="24" t="str">
        <f t="shared" si="74"/>
        <v>-</v>
      </c>
      <c r="S352" s="20" t="str">
        <f t="shared" si="75"/>
        <v>-</v>
      </c>
      <c r="T352" s="15" t="str">
        <f t="shared" si="76"/>
        <v>-</v>
      </c>
      <c r="U352" s="15" t="str">
        <f t="shared" si="77"/>
        <v>-</v>
      </c>
      <c r="V352" s="21">
        <v>0.111</v>
      </c>
      <c r="W352" s="20" t="str">
        <f t="shared" si="78"/>
        <v>-</v>
      </c>
      <c r="X352" s="20" t="str">
        <f t="shared" si="79"/>
        <v>-</v>
      </c>
      <c r="Y352" s="21" t="str">
        <f t="shared" si="80"/>
        <v>-</v>
      </c>
      <c r="Z352" s="21" t="str">
        <f t="shared" si="81"/>
        <v>-</v>
      </c>
      <c r="AA352" s="21">
        <f t="shared" si="82"/>
        <v>0.21756</v>
      </c>
      <c r="AB352" s="21" t="str">
        <f t="shared" si="83"/>
        <v>-</v>
      </c>
    </row>
    <row r="353" spans="1:28" ht="16" customHeight="1" x14ac:dyDescent="0.2">
      <c r="A353" t="s">
        <v>498</v>
      </c>
      <c r="B353" t="s">
        <v>499</v>
      </c>
      <c r="C353" t="s">
        <v>748</v>
      </c>
      <c r="D353" t="s">
        <v>749</v>
      </c>
      <c r="E353" t="s">
        <v>502</v>
      </c>
      <c r="F353" t="s">
        <v>33</v>
      </c>
      <c r="G353" t="s">
        <v>503</v>
      </c>
      <c r="H353" s="15">
        <v>12.4</v>
      </c>
      <c r="I353" s="15">
        <f t="shared" si="84"/>
        <v>4.9065783148377653</v>
      </c>
      <c r="J353" s="17">
        <v>0.68799999999999994</v>
      </c>
      <c r="K353" s="17">
        <v>271000</v>
      </c>
      <c r="L353" s="11" t="s">
        <v>35</v>
      </c>
      <c r="M353" s="11" t="s">
        <v>35</v>
      </c>
      <c r="N353" s="14">
        <v>65</v>
      </c>
      <c r="O353" s="11">
        <v>250.32</v>
      </c>
      <c r="P353" s="13">
        <v>5.5789999999999997</v>
      </c>
      <c r="Q353" s="11">
        <f t="shared" si="73"/>
        <v>69.737499999999997</v>
      </c>
      <c r="R353" s="20">
        <f t="shared" si="74"/>
        <v>27.85934004474273</v>
      </c>
      <c r="S353" s="20">
        <f t="shared" si="75"/>
        <v>0.27859340044742731</v>
      </c>
      <c r="T353" s="15">
        <f t="shared" si="76"/>
        <v>3.4545581655480988</v>
      </c>
      <c r="U353" s="15">
        <f t="shared" si="77"/>
        <v>5.4616074905574763</v>
      </c>
      <c r="V353" s="21">
        <v>0.1</v>
      </c>
      <c r="W353" s="20">
        <f t="shared" si="78"/>
        <v>8.5943609965943715</v>
      </c>
      <c r="X353" s="20">
        <f t="shared" si="79"/>
        <v>31.74</v>
      </c>
      <c r="Y353" s="21">
        <f t="shared" si="80"/>
        <v>0.14280898527418645</v>
      </c>
      <c r="Z353" s="21">
        <f t="shared" si="81"/>
        <v>0.1743399158972001</v>
      </c>
      <c r="AA353" s="21">
        <f t="shared" si="82"/>
        <v>0.19600000000000001</v>
      </c>
      <c r="AB353" s="21">
        <f t="shared" si="83"/>
        <v>0.34170623515851217</v>
      </c>
    </row>
    <row r="354" spans="1:28" ht="16" customHeight="1" x14ac:dyDescent="0.2">
      <c r="A354" t="s">
        <v>498</v>
      </c>
      <c r="B354" t="s">
        <v>499</v>
      </c>
      <c r="C354" t="s">
        <v>750</v>
      </c>
      <c r="D354" t="s">
        <v>751</v>
      </c>
      <c r="E354" t="s">
        <v>502</v>
      </c>
      <c r="F354" t="s">
        <v>33</v>
      </c>
      <c r="G354" t="s">
        <v>503</v>
      </c>
      <c r="H354" s="15">
        <v>3.1</v>
      </c>
      <c r="I354" s="15">
        <f t="shared" si="84"/>
        <v>5.5086383061657269</v>
      </c>
      <c r="J354" s="17">
        <v>0.62</v>
      </c>
      <c r="K354" s="17">
        <v>288000</v>
      </c>
      <c r="L354" s="11" t="s">
        <v>35</v>
      </c>
      <c r="M354" s="11" t="s">
        <v>35</v>
      </c>
      <c r="N354" s="14">
        <v>65</v>
      </c>
      <c r="O354" s="11">
        <v>249.93</v>
      </c>
      <c r="P354" s="13">
        <v>7.6920000000000002</v>
      </c>
      <c r="Q354" s="11">
        <f t="shared" si="73"/>
        <v>96.15</v>
      </c>
      <c r="R354" s="20">
        <f t="shared" si="74"/>
        <v>38.47077181610851</v>
      </c>
      <c r="S354" s="20">
        <f t="shared" si="75"/>
        <v>0.38470771816108512</v>
      </c>
      <c r="T354" s="15">
        <f t="shared" si="76"/>
        <v>1.1925939262993639</v>
      </c>
      <c r="U354" s="15">
        <f t="shared" si="77"/>
        <v>5.9235074067808107</v>
      </c>
      <c r="V354" s="21">
        <v>5.0799999999999998E-2</v>
      </c>
      <c r="W354" s="20">
        <f t="shared" si="78"/>
        <v>6.4697243889755587</v>
      </c>
      <c r="X354" s="20">
        <f t="shared" si="79"/>
        <v>31.74</v>
      </c>
      <c r="Y354" s="21">
        <f t="shared" si="80"/>
        <v>0.14067956923024974</v>
      </c>
      <c r="Z354" s="21">
        <f t="shared" si="81"/>
        <v>0.14957065620905938</v>
      </c>
      <c r="AA354" s="21">
        <f t="shared" si="82"/>
        <v>9.956799999999999E-2</v>
      </c>
      <c r="AB354" s="21">
        <f t="shared" si="83"/>
        <v>0.29315848616975637</v>
      </c>
    </row>
    <row r="355" spans="1:28" ht="16" customHeight="1" x14ac:dyDescent="0.2">
      <c r="A355" t="s">
        <v>498</v>
      </c>
      <c r="B355" t="s">
        <v>499</v>
      </c>
      <c r="C355" t="s">
        <v>752</v>
      </c>
      <c r="D355" t="s">
        <v>753</v>
      </c>
      <c r="E355" t="s">
        <v>502</v>
      </c>
      <c r="F355" t="s">
        <v>38</v>
      </c>
      <c r="G355" t="s">
        <v>503</v>
      </c>
      <c r="H355" s="15">
        <v>11300</v>
      </c>
      <c r="I355" s="15">
        <f t="shared" si="84"/>
        <v>1.9469215565165803</v>
      </c>
      <c r="J355" s="17">
        <v>1.3</v>
      </c>
      <c r="K355" s="17">
        <v>468000</v>
      </c>
      <c r="L355" s="11" t="s">
        <v>35</v>
      </c>
      <c r="M355" s="11" t="s">
        <v>35</v>
      </c>
      <c r="N355" s="14">
        <v>65</v>
      </c>
      <c r="O355" s="11">
        <v>250.65</v>
      </c>
      <c r="P355" s="13">
        <v>4.1079999999999997</v>
      </c>
      <c r="Q355" s="11">
        <f t="shared" si="73"/>
        <v>51.349999999999994</v>
      </c>
      <c r="R355" s="20">
        <f t="shared" si="74"/>
        <v>20.486734490325151</v>
      </c>
      <c r="S355" s="20">
        <f t="shared" si="75"/>
        <v>0.20486734490325151</v>
      </c>
      <c r="T355" s="15">
        <f t="shared" si="76"/>
        <v>2315.000997406742</v>
      </c>
      <c r="U355" s="15">
        <f t="shared" si="77"/>
        <v>2.6354488175323558</v>
      </c>
      <c r="V355" s="21">
        <v>0.61499999999999999</v>
      </c>
      <c r="W355" s="20">
        <f t="shared" si="78"/>
        <v>11.363894839337878</v>
      </c>
      <c r="X355" s="20">
        <f t="shared" si="79"/>
        <v>31.74</v>
      </c>
      <c r="Y355" s="21">
        <f t="shared" si="80"/>
        <v>0.14641365597466835</v>
      </c>
      <c r="Z355" s="21">
        <f t="shared" si="81"/>
        <v>0.63218823039967176</v>
      </c>
      <c r="AA355" s="21">
        <f t="shared" si="82"/>
        <v>1.2054</v>
      </c>
      <c r="AB355" s="21">
        <f t="shared" si="83"/>
        <v>1.2390889315833566</v>
      </c>
    </row>
    <row r="356" spans="1:28" ht="16" customHeight="1" x14ac:dyDescent="0.2">
      <c r="A356" t="s">
        <v>498</v>
      </c>
      <c r="B356" t="s">
        <v>499</v>
      </c>
      <c r="C356" t="s">
        <v>754</v>
      </c>
      <c r="D356" t="s">
        <v>755</v>
      </c>
      <c r="E356" t="s">
        <v>502</v>
      </c>
      <c r="F356" t="s">
        <v>38</v>
      </c>
      <c r="G356" t="s">
        <v>503</v>
      </c>
      <c r="H356" s="16" t="s">
        <v>67</v>
      </c>
      <c r="I356" s="16" t="s">
        <v>67</v>
      </c>
      <c r="J356" s="18" t="s">
        <v>67</v>
      </c>
      <c r="K356" s="18" t="s">
        <v>67</v>
      </c>
      <c r="L356" s="11" t="s">
        <v>35</v>
      </c>
      <c r="M356" s="11" t="s">
        <v>35</v>
      </c>
      <c r="N356" s="14">
        <v>65</v>
      </c>
      <c r="O356" s="11">
        <v>250.23</v>
      </c>
      <c r="P356" s="13">
        <v>10.901999999999999</v>
      </c>
      <c r="Q356" s="11">
        <f t="shared" si="73"/>
        <v>136.27499999999998</v>
      </c>
      <c r="R356" s="20">
        <f t="shared" si="74"/>
        <v>54.459896894856726</v>
      </c>
      <c r="S356" s="20">
        <f t="shared" si="75"/>
        <v>0.5445989689485673</v>
      </c>
      <c r="T356" s="15" t="str">
        <f t="shared" si="76"/>
        <v>no data</v>
      </c>
      <c r="U356" s="15" t="str">
        <f t="shared" si="77"/>
        <v>no data</v>
      </c>
      <c r="V356" s="22" t="s">
        <v>68</v>
      </c>
      <c r="W356" s="20">
        <f t="shared" si="78"/>
        <v>4.8179893597505048</v>
      </c>
      <c r="X356" s="20">
        <f t="shared" si="79"/>
        <v>31.74</v>
      </c>
      <c r="Y356" s="21">
        <f t="shared" si="80"/>
        <v>0.13942412869539017</v>
      </c>
      <c r="Z356" s="21" t="str">
        <f t="shared" si="81"/>
        <v>-</v>
      </c>
      <c r="AA356" s="21" t="str">
        <f t="shared" si="82"/>
        <v>-</v>
      </c>
      <c r="AB356" s="21" t="str">
        <f t="shared" si="83"/>
        <v>-</v>
      </c>
    </row>
    <row r="357" spans="1:28" ht="16" customHeight="1" x14ac:dyDescent="0.2">
      <c r="A357" t="s">
        <v>498</v>
      </c>
      <c r="B357" t="s">
        <v>499</v>
      </c>
      <c r="C357" t="s">
        <v>756</v>
      </c>
      <c r="D357" t="s">
        <v>757</v>
      </c>
      <c r="E357" t="s">
        <v>502</v>
      </c>
      <c r="F357" t="s">
        <v>38</v>
      </c>
      <c r="G357" t="s">
        <v>503</v>
      </c>
      <c r="H357" s="15">
        <v>85.9</v>
      </c>
      <c r="I357" s="15">
        <f t="shared" ref="I357:I388" si="85">IF(H357=0, 0, -LOG10(H357*10^-6))</f>
        <v>4.066006836168758</v>
      </c>
      <c r="J357" s="17">
        <v>1.4</v>
      </c>
      <c r="K357" s="17">
        <v>497000</v>
      </c>
      <c r="L357" s="11" t="s">
        <v>35</v>
      </c>
      <c r="M357" s="11" t="s">
        <v>81</v>
      </c>
      <c r="N357" s="14">
        <v>65</v>
      </c>
      <c r="O357" s="11">
        <v>249.75</v>
      </c>
      <c r="P357" s="23" t="s">
        <v>82</v>
      </c>
      <c r="Q357" s="11" t="str">
        <f t="shared" si="73"/>
        <v>-</v>
      </c>
      <c r="R357" s="24" t="str">
        <f t="shared" si="74"/>
        <v>-</v>
      </c>
      <c r="S357" s="20" t="str">
        <f t="shared" si="75"/>
        <v>-</v>
      </c>
      <c r="T357" s="15" t="str">
        <f t="shared" si="76"/>
        <v>-</v>
      </c>
      <c r="U357" s="15" t="str">
        <f t="shared" si="77"/>
        <v>-</v>
      </c>
      <c r="V357" s="21">
        <v>0.13400000000000001</v>
      </c>
      <c r="W357" s="20" t="str">
        <f t="shared" si="78"/>
        <v>-</v>
      </c>
      <c r="X357" s="20" t="str">
        <f t="shared" si="79"/>
        <v>-</v>
      </c>
      <c r="Y357" s="21" t="str">
        <f t="shared" si="80"/>
        <v>-</v>
      </c>
      <c r="Z357" s="21" t="str">
        <f t="shared" si="81"/>
        <v>-</v>
      </c>
      <c r="AA357" s="21">
        <f t="shared" si="82"/>
        <v>0.26263999999999998</v>
      </c>
      <c r="AB357" s="21" t="str">
        <f t="shared" si="83"/>
        <v>-</v>
      </c>
    </row>
    <row r="358" spans="1:28" ht="16" customHeight="1" x14ac:dyDescent="0.2">
      <c r="A358" t="s">
        <v>498</v>
      </c>
      <c r="B358" t="s">
        <v>499</v>
      </c>
      <c r="C358" t="s">
        <v>758</v>
      </c>
      <c r="D358" t="s">
        <v>759</v>
      </c>
      <c r="E358" t="s">
        <v>502</v>
      </c>
      <c r="F358" t="s">
        <v>38</v>
      </c>
      <c r="G358" t="s">
        <v>503</v>
      </c>
      <c r="H358" s="15">
        <v>3.85</v>
      </c>
      <c r="I358" s="15">
        <f t="shared" si="85"/>
        <v>5.414539270491499</v>
      </c>
      <c r="J358" s="17">
        <v>0.52600000000000002</v>
      </c>
      <c r="K358" s="17">
        <v>257000</v>
      </c>
      <c r="L358" s="11" t="s">
        <v>35</v>
      </c>
      <c r="M358" s="11" t="s">
        <v>35</v>
      </c>
      <c r="N358" s="14">
        <v>65</v>
      </c>
      <c r="O358" s="11">
        <v>250.56</v>
      </c>
      <c r="P358" s="13">
        <v>13.701000000000001</v>
      </c>
      <c r="Q358" s="11">
        <f t="shared" si="73"/>
        <v>171.26250000000002</v>
      </c>
      <c r="R358" s="20">
        <f t="shared" si="74"/>
        <v>68.351891762452112</v>
      </c>
      <c r="S358" s="20">
        <f t="shared" si="75"/>
        <v>0.68351891762452111</v>
      </c>
      <c r="T358" s="15">
        <f t="shared" si="76"/>
        <v>2.6315478328544062</v>
      </c>
      <c r="U358" s="15">
        <f t="shared" si="77"/>
        <v>5.5797887315346291</v>
      </c>
      <c r="V358" s="21">
        <v>0.11600000000000001</v>
      </c>
      <c r="W358" s="20">
        <f t="shared" si="78"/>
        <v>4.0094051529085464</v>
      </c>
      <c r="X358" s="20">
        <f t="shared" si="79"/>
        <v>31.74</v>
      </c>
      <c r="Y358" s="21">
        <f t="shared" si="80"/>
        <v>0.13894049966202629</v>
      </c>
      <c r="Z358" s="21">
        <f t="shared" si="81"/>
        <v>0.18099851503902878</v>
      </c>
      <c r="AA358" s="21">
        <f t="shared" si="82"/>
        <v>0.22736000000000001</v>
      </c>
      <c r="AB358" s="21">
        <f t="shared" si="83"/>
        <v>0.35475708947649642</v>
      </c>
    </row>
    <row r="359" spans="1:28" ht="16" customHeight="1" x14ac:dyDescent="0.2">
      <c r="A359" t="s">
        <v>498</v>
      </c>
      <c r="B359" t="s">
        <v>499</v>
      </c>
      <c r="C359" t="s">
        <v>760</v>
      </c>
      <c r="D359" t="s">
        <v>761</v>
      </c>
      <c r="E359" t="s">
        <v>502</v>
      </c>
      <c r="F359" t="s">
        <v>33</v>
      </c>
      <c r="G359" t="s">
        <v>503</v>
      </c>
      <c r="H359" s="15">
        <v>4.4000000000000004</v>
      </c>
      <c r="I359" s="15">
        <f t="shared" si="85"/>
        <v>5.3565473235138121</v>
      </c>
      <c r="J359" s="17">
        <v>0.59799999999999998</v>
      </c>
      <c r="K359" s="17">
        <v>245000</v>
      </c>
      <c r="L359" s="11" t="s">
        <v>35</v>
      </c>
      <c r="M359" s="11" t="s">
        <v>35</v>
      </c>
      <c r="N359" s="14">
        <v>65</v>
      </c>
      <c r="O359" s="11">
        <v>249.23</v>
      </c>
      <c r="P359" s="13">
        <v>20.149999999999999</v>
      </c>
      <c r="Q359" s="11">
        <f t="shared" si="73"/>
        <v>251.87499999999997</v>
      </c>
      <c r="R359" s="20">
        <f t="shared" si="74"/>
        <v>101.06126870761946</v>
      </c>
      <c r="S359" s="20">
        <f t="shared" si="75"/>
        <v>1.0106126870761947</v>
      </c>
      <c r="T359" s="15">
        <f t="shared" si="76"/>
        <v>4.4466958231352569</v>
      </c>
      <c r="U359" s="15">
        <f t="shared" si="77"/>
        <v>5.3519625775112667</v>
      </c>
      <c r="V359" s="21">
        <v>5.2299999999999999E-2</v>
      </c>
      <c r="W359" s="20">
        <f t="shared" si="78"/>
        <v>3.001439205955335</v>
      </c>
      <c r="X359" s="20">
        <f t="shared" si="79"/>
        <v>31.74</v>
      </c>
      <c r="Y359" s="21">
        <f t="shared" si="80"/>
        <v>0.13846001719723328</v>
      </c>
      <c r="Z359" s="21">
        <f t="shared" si="81"/>
        <v>0.14800833207038763</v>
      </c>
      <c r="AA359" s="21">
        <f t="shared" si="82"/>
        <v>0.102508</v>
      </c>
      <c r="AB359" s="21">
        <f t="shared" si="83"/>
        <v>0.29009633085795977</v>
      </c>
    </row>
    <row r="360" spans="1:28" ht="16" customHeight="1" x14ac:dyDescent="0.2">
      <c r="A360" t="s">
        <v>498</v>
      </c>
      <c r="B360" t="s">
        <v>499</v>
      </c>
      <c r="C360" t="s">
        <v>762</v>
      </c>
      <c r="D360" t="s">
        <v>763</v>
      </c>
      <c r="E360" t="s">
        <v>502</v>
      </c>
      <c r="F360" t="s">
        <v>38</v>
      </c>
      <c r="G360" t="s">
        <v>503</v>
      </c>
      <c r="H360" s="15">
        <v>212</v>
      </c>
      <c r="I360" s="15">
        <f t="shared" si="85"/>
        <v>3.6736641390712483</v>
      </c>
      <c r="J360" s="17">
        <v>1.3</v>
      </c>
      <c r="K360" s="17">
        <v>468000</v>
      </c>
      <c r="L360" s="11" t="s">
        <v>35</v>
      </c>
      <c r="M360" s="11" t="s">
        <v>81</v>
      </c>
      <c r="N360" s="14">
        <v>65</v>
      </c>
      <c r="O360" s="11">
        <v>250.64</v>
      </c>
      <c r="P360" s="23" t="s">
        <v>82</v>
      </c>
      <c r="Q360" s="11" t="str">
        <f t="shared" si="73"/>
        <v>-</v>
      </c>
      <c r="R360" s="24" t="str">
        <f t="shared" si="74"/>
        <v>-</v>
      </c>
      <c r="S360" s="20" t="str">
        <f t="shared" si="75"/>
        <v>-</v>
      </c>
      <c r="T360" s="15" t="str">
        <f t="shared" si="76"/>
        <v>-</v>
      </c>
      <c r="U360" s="15" t="str">
        <f t="shared" si="77"/>
        <v>-</v>
      </c>
      <c r="V360" s="21">
        <v>0.22900000000000001</v>
      </c>
      <c r="W360" s="20" t="str">
        <f t="shared" si="78"/>
        <v>-</v>
      </c>
      <c r="X360" s="20" t="str">
        <f t="shared" si="79"/>
        <v>-</v>
      </c>
      <c r="Y360" s="21" t="str">
        <f t="shared" si="80"/>
        <v>-</v>
      </c>
      <c r="Z360" s="21" t="str">
        <f t="shared" si="81"/>
        <v>-</v>
      </c>
      <c r="AA360" s="21">
        <f t="shared" si="82"/>
        <v>0.44884000000000002</v>
      </c>
      <c r="AB360" s="21" t="str">
        <f t="shared" si="83"/>
        <v>-</v>
      </c>
    </row>
    <row r="361" spans="1:28" ht="16" customHeight="1" x14ac:dyDescent="0.2">
      <c r="A361" t="s">
        <v>498</v>
      </c>
      <c r="B361" t="s">
        <v>499</v>
      </c>
      <c r="C361" t="s">
        <v>764</v>
      </c>
      <c r="D361" t="s">
        <v>765</v>
      </c>
      <c r="E361" t="s">
        <v>502</v>
      </c>
      <c r="F361" t="s">
        <v>38</v>
      </c>
      <c r="G361" t="s">
        <v>503</v>
      </c>
      <c r="H361" s="15">
        <v>153</v>
      </c>
      <c r="I361" s="15">
        <f t="shared" si="85"/>
        <v>3.8153085691824011</v>
      </c>
      <c r="J361" s="17">
        <v>1.1100000000000001</v>
      </c>
      <c r="K361" s="17">
        <v>449000</v>
      </c>
      <c r="L361" s="11" t="s">
        <v>35</v>
      </c>
      <c r="M361" s="11" t="s">
        <v>35</v>
      </c>
      <c r="N361" s="14">
        <v>65</v>
      </c>
      <c r="O361" s="11">
        <v>250.65</v>
      </c>
      <c r="P361" s="13">
        <v>1.921</v>
      </c>
      <c r="Q361" s="11">
        <f t="shared" si="73"/>
        <v>24.012499999999999</v>
      </c>
      <c r="R361" s="20">
        <f t="shared" si="74"/>
        <v>9.5800917614203058</v>
      </c>
      <c r="S361" s="20">
        <f t="shared" si="75"/>
        <v>9.5800917614203063E-2</v>
      </c>
      <c r="T361" s="15">
        <f t="shared" si="76"/>
        <v>14.657540394973068</v>
      </c>
      <c r="U361" s="15">
        <f t="shared" si="77"/>
        <v>4.8339389002617237</v>
      </c>
      <c r="V361" s="21">
        <v>0.20399999999999999</v>
      </c>
      <c r="W361" s="20">
        <f t="shared" si="78"/>
        <v>23.322259239979175</v>
      </c>
      <c r="X361" s="20">
        <f t="shared" si="79"/>
        <v>31.74</v>
      </c>
      <c r="Y361" s="21">
        <f t="shared" si="80"/>
        <v>0.17105664855426178</v>
      </c>
      <c r="Z361" s="21">
        <f t="shared" si="81"/>
        <v>0.26622617642639168</v>
      </c>
      <c r="AA361" s="21">
        <f t="shared" si="82"/>
        <v>0.39983999999999997</v>
      </c>
      <c r="AB361" s="21">
        <f t="shared" si="83"/>
        <v>0.52180330579572765</v>
      </c>
    </row>
    <row r="362" spans="1:28" ht="16" customHeight="1" x14ac:dyDescent="0.2">
      <c r="A362" t="s">
        <v>498</v>
      </c>
      <c r="B362" t="s">
        <v>499</v>
      </c>
      <c r="C362" t="s">
        <v>766</v>
      </c>
      <c r="D362" t="s">
        <v>767</v>
      </c>
      <c r="E362" t="s">
        <v>502</v>
      </c>
      <c r="F362" t="s">
        <v>33</v>
      </c>
      <c r="G362" t="s">
        <v>503</v>
      </c>
      <c r="H362" s="15">
        <v>1.84</v>
      </c>
      <c r="I362" s="15">
        <f t="shared" si="85"/>
        <v>5.7351821769904632</v>
      </c>
      <c r="J362" s="17">
        <v>0.6</v>
      </c>
      <c r="K362" s="17">
        <v>281000</v>
      </c>
      <c r="L362" s="11" t="s">
        <v>35</v>
      </c>
      <c r="M362" s="11" t="s">
        <v>35</v>
      </c>
      <c r="N362" s="14">
        <v>65</v>
      </c>
      <c r="O362" s="11">
        <v>249.09</v>
      </c>
      <c r="P362" s="13">
        <v>13.978999999999999</v>
      </c>
      <c r="Q362" s="11">
        <f t="shared" si="73"/>
        <v>174.73749999999998</v>
      </c>
      <c r="R362" s="20">
        <f t="shared" si="74"/>
        <v>70.150347264041102</v>
      </c>
      <c r="S362" s="20">
        <f t="shared" si="75"/>
        <v>0.70150347264041102</v>
      </c>
      <c r="T362" s="15">
        <f t="shared" si="76"/>
        <v>1.2907663896583563</v>
      </c>
      <c r="U362" s="15">
        <f t="shared" si="77"/>
        <v>5.8891523517403606</v>
      </c>
      <c r="V362" s="21">
        <v>3.9800000000000002E-2</v>
      </c>
      <c r="W362" s="20">
        <f t="shared" si="78"/>
        <v>3.946773016667859</v>
      </c>
      <c r="X362" s="20">
        <f t="shared" si="79"/>
        <v>31.74</v>
      </c>
      <c r="Y362" s="21">
        <f t="shared" si="80"/>
        <v>0.13890667259326109</v>
      </c>
      <c r="Z362" s="21">
        <f t="shared" si="81"/>
        <v>0.14449603347819426</v>
      </c>
      <c r="AA362" s="21">
        <f t="shared" si="82"/>
        <v>7.8008000000000008E-2</v>
      </c>
      <c r="AB362" s="21">
        <f t="shared" si="83"/>
        <v>0.28321222561726073</v>
      </c>
    </row>
    <row r="363" spans="1:28" ht="16" customHeight="1" x14ac:dyDescent="0.2">
      <c r="A363" t="s">
        <v>498</v>
      </c>
      <c r="B363" t="s">
        <v>499</v>
      </c>
      <c r="C363" t="s">
        <v>768</v>
      </c>
      <c r="D363" t="s">
        <v>769</v>
      </c>
      <c r="E363" t="s">
        <v>502</v>
      </c>
      <c r="F363" t="s">
        <v>33</v>
      </c>
      <c r="G363" t="s">
        <v>503</v>
      </c>
      <c r="H363" s="15">
        <v>10.3</v>
      </c>
      <c r="I363" s="15">
        <f t="shared" si="85"/>
        <v>4.987162775294828</v>
      </c>
      <c r="J363" s="17">
        <v>0.67300000000000004</v>
      </c>
      <c r="K363" s="17">
        <v>267000</v>
      </c>
      <c r="L363" s="11" t="s">
        <v>35</v>
      </c>
      <c r="M363" s="11" t="s">
        <v>35</v>
      </c>
      <c r="N363" s="14">
        <v>65</v>
      </c>
      <c r="O363" s="11">
        <v>249.72</v>
      </c>
      <c r="P363" s="13">
        <v>2.4</v>
      </c>
      <c r="Q363" s="11">
        <f t="shared" si="73"/>
        <v>30</v>
      </c>
      <c r="R363" s="20">
        <f t="shared" si="74"/>
        <v>12.01345506967804</v>
      </c>
      <c r="S363" s="20">
        <f t="shared" si="75"/>
        <v>0.1201345506967804</v>
      </c>
      <c r="T363" s="15">
        <f t="shared" si="76"/>
        <v>1.2373858721768383</v>
      </c>
      <c r="U363" s="15">
        <f t="shared" si="77"/>
        <v>5.9074948468344166</v>
      </c>
      <c r="V363" s="21">
        <v>0.106</v>
      </c>
      <c r="W363" s="20">
        <f t="shared" si="78"/>
        <v>18.839166666666667</v>
      </c>
      <c r="X363" s="20">
        <f t="shared" si="79"/>
        <v>31.74</v>
      </c>
      <c r="Y363" s="21">
        <f t="shared" si="80"/>
        <v>0.16029772267216932</v>
      </c>
      <c r="Z363" s="21">
        <f t="shared" si="81"/>
        <v>0.19217533633087183</v>
      </c>
      <c r="AA363" s="21">
        <f t="shared" si="82"/>
        <v>0.20776</v>
      </c>
      <c r="AB363" s="21">
        <f t="shared" si="83"/>
        <v>0.37666365920850881</v>
      </c>
    </row>
    <row r="364" spans="1:28" ht="16" customHeight="1" x14ac:dyDescent="0.2">
      <c r="A364" t="s">
        <v>498</v>
      </c>
      <c r="B364" t="s">
        <v>499</v>
      </c>
      <c r="C364" t="s">
        <v>770</v>
      </c>
      <c r="D364" t="s">
        <v>771</v>
      </c>
      <c r="E364" t="s">
        <v>502</v>
      </c>
      <c r="F364" t="s">
        <v>38</v>
      </c>
      <c r="G364" t="s">
        <v>503</v>
      </c>
      <c r="H364" s="15">
        <v>7.88</v>
      </c>
      <c r="I364" s="15">
        <f t="shared" si="85"/>
        <v>5.103473782510445</v>
      </c>
      <c r="J364" s="17">
        <v>0.65200000000000002</v>
      </c>
      <c r="K364" s="17">
        <v>298000</v>
      </c>
      <c r="L364" s="11" t="s">
        <v>35</v>
      </c>
      <c r="M364" s="11" t="s">
        <v>35</v>
      </c>
      <c r="N364" s="14">
        <v>65</v>
      </c>
      <c r="O364" s="11">
        <v>250.3</v>
      </c>
      <c r="P364" s="13">
        <v>5.18</v>
      </c>
      <c r="Q364" s="11">
        <f t="shared" si="73"/>
        <v>64.75</v>
      </c>
      <c r="R364" s="20">
        <f t="shared" si="74"/>
        <v>25.86895725129844</v>
      </c>
      <c r="S364" s="20">
        <f t="shared" si="75"/>
        <v>0.25868957251298441</v>
      </c>
      <c r="T364" s="15">
        <f t="shared" si="76"/>
        <v>2.038473831402317</v>
      </c>
      <c r="U364" s="15">
        <f t="shared" si="77"/>
        <v>5.6906948593653786</v>
      </c>
      <c r="V364" s="21">
        <v>0.17899999999999999</v>
      </c>
      <c r="W364" s="20">
        <f t="shared" si="78"/>
        <v>9.190115830115829</v>
      </c>
      <c r="X364" s="20">
        <f t="shared" si="79"/>
        <v>31.74</v>
      </c>
      <c r="Y364" s="21">
        <f t="shared" si="80"/>
        <v>0.14350694726916283</v>
      </c>
      <c r="Z364" s="21">
        <f t="shared" si="81"/>
        <v>0.22942372134222364</v>
      </c>
      <c r="AA364" s="21">
        <f t="shared" si="82"/>
        <v>0.35083999999999999</v>
      </c>
      <c r="AB364" s="21">
        <f t="shared" si="83"/>
        <v>0.4496704938307583</v>
      </c>
    </row>
    <row r="365" spans="1:28" ht="16" customHeight="1" x14ac:dyDescent="0.2">
      <c r="A365" t="s">
        <v>498</v>
      </c>
      <c r="B365" t="s">
        <v>499</v>
      </c>
      <c r="C365" t="s">
        <v>772</v>
      </c>
      <c r="D365" t="s">
        <v>773</v>
      </c>
      <c r="E365" t="s">
        <v>502</v>
      </c>
      <c r="F365" t="s">
        <v>33</v>
      </c>
      <c r="G365" t="s">
        <v>503</v>
      </c>
      <c r="H365" s="15">
        <v>3.94</v>
      </c>
      <c r="I365" s="15">
        <f t="shared" si="85"/>
        <v>5.4045037781744263</v>
      </c>
      <c r="J365" s="17">
        <v>0.85</v>
      </c>
      <c r="K365" s="17">
        <v>363000</v>
      </c>
      <c r="L365" s="11" t="s">
        <v>247</v>
      </c>
      <c r="M365" s="11" t="s">
        <v>247</v>
      </c>
      <c r="N365" s="14">
        <v>20</v>
      </c>
      <c r="O365" s="11">
        <v>498.92</v>
      </c>
      <c r="P365" s="13">
        <v>19.03</v>
      </c>
      <c r="Q365" s="11">
        <f t="shared" si="73"/>
        <v>237.875</v>
      </c>
      <c r="R365" s="20">
        <f t="shared" si="74"/>
        <v>47.677984446404231</v>
      </c>
      <c r="S365" s="20">
        <f t="shared" si="75"/>
        <v>0.47677984446404231</v>
      </c>
      <c r="T365" s="15">
        <f t="shared" si="76"/>
        <v>1.8785125871883266</v>
      </c>
      <c r="U365" s="15">
        <f t="shared" si="77"/>
        <v>5.7261858905510259</v>
      </c>
      <c r="V365" s="21">
        <v>4.0599999999999997E-2</v>
      </c>
      <c r="W365" s="20">
        <f t="shared" si="78"/>
        <v>3.1274724119810822</v>
      </c>
      <c r="X365" s="20">
        <f t="shared" si="79"/>
        <v>31.74</v>
      </c>
      <c r="Y365" s="21">
        <f t="shared" si="80"/>
        <v>0.13851261893606934</v>
      </c>
      <c r="Z365" s="21">
        <f t="shared" si="81"/>
        <v>0.14434024249851027</v>
      </c>
      <c r="AA365" s="21">
        <f t="shared" si="82"/>
        <v>7.9575999999999994E-2</v>
      </c>
      <c r="AB365" s="21">
        <f t="shared" si="83"/>
        <v>0.28290687529708014</v>
      </c>
    </row>
    <row r="366" spans="1:28" ht="16" customHeight="1" x14ac:dyDescent="0.2">
      <c r="A366" t="s">
        <v>498</v>
      </c>
      <c r="B366" t="s">
        <v>499</v>
      </c>
      <c r="C366" t="s">
        <v>774</v>
      </c>
      <c r="D366" t="s">
        <v>775</v>
      </c>
      <c r="E366" t="s">
        <v>502</v>
      </c>
      <c r="F366" t="s">
        <v>33</v>
      </c>
      <c r="G366" t="s">
        <v>503</v>
      </c>
      <c r="H366" s="15">
        <v>8.6300000000000008</v>
      </c>
      <c r="I366" s="15">
        <f t="shared" si="85"/>
        <v>5.0639892042847903</v>
      </c>
      <c r="J366" s="17">
        <v>0.90100000000000002</v>
      </c>
      <c r="K366" s="17">
        <v>348000</v>
      </c>
      <c r="L366" s="11" t="s">
        <v>247</v>
      </c>
      <c r="M366" s="11" t="s">
        <v>247</v>
      </c>
      <c r="N366" s="14">
        <v>20</v>
      </c>
      <c r="O366" s="11">
        <v>499.68</v>
      </c>
      <c r="P366" s="13">
        <v>56.19</v>
      </c>
      <c r="Q366" s="11">
        <f t="shared" si="73"/>
        <v>702.375</v>
      </c>
      <c r="R366" s="20">
        <f t="shared" si="74"/>
        <v>140.56496157540826</v>
      </c>
      <c r="S366" s="20">
        <f t="shared" si="75"/>
        <v>1.4056496157540825</v>
      </c>
      <c r="T366" s="15">
        <f t="shared" si="76"/>
        <v>12.130756183957734</v>
      </c>
      <c r="U366" s="15">
        <f t="shared" si="77"/>
        <v>4.9161121260679579</v>
      </c>
      <c r="V366" s="21">
        <v>0.125</v>
      </c>
      <c r="W366" s="20">
        <f t="shared" si="78"/>
        <v>1.6279302366969213</v>
      </c>
      <c r="X366" s="20">
        <f t="shared" si="79"/>
        <v>31.74</v>
      </c>
      <c r="Y366" s="21">
        <f t="shared" si="80"/>
        <v>0.13802625831131188</v>
      </c>
      <c r="Z366" s="21">
        <f t="shared" si="81"/>
        <v>0.18621559543556224</v>
      </c>
      <c r="AA366" s="21">
        <f t="shared" si="82"/>
        <v>0.245</v>
      </c>
      <c r="AB366" s="21">
        <f t="shared" si="83"/>
        <v>0.36498256705370197</v>
      </c>
    </row>
    <row r="367" spans="1:28" ht="16" customHeight="1" x14ac:dyDescent="0.2">
      <c r="A367" t="s">
        <v>498</v>
      </c>
      <c r="B367" t="s">
        <v>499</v>
      </c>
      <c r="C367" t="s">
        <v>776</v>
      </c>
      <c r="D367" t="s">
        <v>777</v>
      </c>
      <c r="E367" t="s">
        <v>502</v>
      </c>
      <c r="F367" t="s">
        <v>38</v>
      </c>
      <c r="G367" t="s">
        <v>503</v>
      </c>
      <c r="H367" s="15">
        <v>380</v>
      </c>
      <c r="I367" s="15">
        <f t="shared" si="85"/>
        <v>3.4202164033831899</v>
      </c>
      <c r="J367" s="17">
        <v>1.3</v>
      </c>
      <c r="K367" s="17">
        <v>510000</v>
      </c>
      <c r="L367" s="11" t="s">
        <v>247</v>
      </c>
      <c r="M367" s="11" t="s">
        <v>247</v>
      </c>
      <c r="N367" s="14">
        <v>20</v>
      </c>
      <c r="O367" s="11">
        <v>501.64</v>
      </c>
      <c r="P367" s="13">
        <v>23.87</v>
      </c>
      <c r="Q367" s="11">
        <f t="shared" si="73"/>
        <v>298.375</v>
      </c>
      <c r="R367" s="20">
        <f t="shared" si="74"/>
        <v>59.47990590861972</v>
      </c>
      <c r="S367" s="20">
        <f t="shared" si="75"/>
        <v>0.59479905908619723</v>
      </c>
      <c r="T367" s="15">
        <f t="shared" si="76"/>
        <v>226.02364245275496</v>
      </c>
      <c r="U367" s="15">
        <f t="shared" si="77"/>
        <v>3.645846130544026</v>
      </c>
      <c r="V367" s="21">
        <v>0.26500000000000001</v>
      </c>
      <c r="W367" s="20">
        <f t="shared" si="78"/>
        <v>2.6677084206116461</v>
      </c>
      <c r="X367" s="20">
        <f t="shared" si="79"/>
        <v>31.74</v>
      </c>
      <c r="Y367" s="21">
        <f t="shared" si="80"/>
        <v>0.13833109416248038</v>
      </c>
      <c r="Z367" s="21">
        <f t="shared" si="81"/>
        <v>0.29893225254593897</v>
      </c>
      <c r="AA367" s="21">
        <f t="shared" si="82"/>
        <v>0.51939999999999997</v>
      </c>
      <c r="AB367" s="21">
        <f t="shared" si="83"/>
        <v>0.58590721499004039</v>
      </c>
    </row>
    <row r="368" spans="1:28" ht="16" customHeight="1" x14ac:dyDescent="0.2">
      <c r="A368" t="s">
        <v>498</v>
      </c>
      <c r="B368" t="s">
        <v>499</v>
      </c>
      <c r="C368" t="s">
        <v>778</v>
      </c>
      <c r="D368" t="s">
        <v>779</v>
      </c>
      <c r="E368" t="s">
        <v>502</v>
      </c>
      <c r="F368" t="s">
        <v>33</v>
      </c>
      <c r="G368" t="s">
        <v>503</v>
      </c>
      <c r="H368" s="15">
        <v>5.98</v>
      </c>
      <c r="I368" s="15">
        <f t="shared" si="85"/>
        <v>5.2232988160115887</v>
      </c>
      <c r="J368" s="17">
        <v>0.65</v>
      </c>
      <c r="K368" s="17">
        <v>298000</v>
      </c>
      <c r="L368" s="11" t="s">
        <v>247</v>
      </c>
      <c r="M368" s="11" t="s">
        <v>247</v>
      </c>
      <c r="N368" s="14">
        <v>20</v>
      </c>
      <c r="O368" s="11">
        <v>501.28</v>
      </c>
      <c r="P368" s="13">
        <v>17.77</v>
      </c>
      <c r="Q368" s="11">
        <f t="shared" si="73"/>
        <v>222.125</v>
      </c>
      <c r="R368" s="20">
        <f t="shared" si="74"/>
        <v>44.311562400255347</v>
      </c>
      <c r="S368" s="20">
        <f t="shared" si="75"/>
        <v>0.4431156240025535</v>
      </c>
      <c r="T368" s="15">
        <f t="shared" si="76"/>
        <v>2.64983143153527</v>
      </c>
      <c r="U368" s="15">
        <f t="shared" si="77"/>
        <v>5.5767817527358607</v>
      </c>
      <c r="V368" s="21">
        <v>6.4600000000000005E-2</v>
      </c>
      <c r="W368" s="20">
        <f t="shared" si="78"/>
        <v>3.2882498593134497</v>
      </c>
      <c r="X368" s="20">
        <f t="shared" si="79"/>
        <v>31.74</v>
      </c>
      <c r="Y368" s="21">
        <f t="shared" si="80"/>
        <v>0.13858283070473942</v>
      </c>
      <c r="Z368" s="21">
        <f t="shared" si="81"/>
        <v>0.15289983965373694</v>
      </c>
      <c r="AA368" s="21">
        <f t="shared" si="82"/>
        <v>0.12661600000000001</v>
      </c>
      <c r="AB368" s="21">
        <f t="shared" si="83"/>
        <v>0.29968368572132437</v>
      </c>
    </row>
    <row r="369" spans="1:28" ht="16" customHeight="1" x14ac:dyDescent="0.2">
      <c r="A369" t="s">
        <v>498</v>
      </c>
      <c r="B369" t="s">
        <v>499</v>
      </c>
      <c r="C369" t="s">
        <v>780</v>
      </c>
      <c r="D369" t="s">
        <v>781</v>
      </c>
      <c r="E369" t="s">
        <v>502</v>
      </c>
      <c r="F369" t="s">
        <v>38</v>
      </c>
      <c r="G369" t="s">
        <v>503</v>
      </c>
      <c r="H369" s="15">
        <v>4760</v>
      </c>
      <c r="I369" s="15">
        <f t="shared" si="85"/>
        <v>2.3223930472795069</v>
      </c>
      <c r="J369" s="17">
        <v>1.35</v>
      </c>
      <c r="K369" s="17">
        <v>483000</v>
      </c>
      <c r="L369" s="11" t="s">
        <v>35</v>
      </c>
      <c r="M369" s="11" t="s">
        <v>35</v>
      </c>
      <c r="N369" s="14">
        <v>65</v>
      </c>
      <c r="O369" s="11">
        <v>250.71</v>
      </c>
      <c r="P369" s="13">
        <v>4.149</v>
      </c>
      <c r="Q369" s="11">
        <f t="shared" si="73"/>
        <v>51.862499999999997</v>
      </c>
      <c r="R369" s="20">
        <f t="shared" si="74"/>
        <v>20.686251047026445</v>
      </c>
      <c r="S369" s="20">
        <f t="shared" si="75"/>
        <v>0.20686251047026447</v>
      </c>
      <c r="T369" s="15">
        <f t="shared" si="76"/>
        <v>984.6655498384589</v>
      </c>
      <c r="U369" s="15">
        <f t="shared" si="77"/>
        <v>3.0067112563293135</v>
      </c>
      <c r="V369" s="21">
        <v>0.66800000000000004</v>
      </c>
      <c r="W369" s="20">
        <f t="shared" si="78"/>
        <v>11.260096408773197</v>
      </c>
      <c r="X369" s="20">
        <f t="shared" si="79"/>
        <v>31.74</v>
      </c>
      <c r="Y369" s="21">
        <f t="shared" si="80"/>
        <v>0.14626232021604152</v>
      </c>
      <c r="Z369" s="21">
        <f t="shared" si="81"/>
        <v>0.68382502609584273</v>
      </c>
      <c r="AA369" s="21">
        <f t="shared" si="82"/>
        <v>1.30928</v>
      </c>
      <c r="AB369" s="21">
        <f t="shared" si="83"/>
        <v>1.3402970511478518</v>
      </c>
    </row>
    <row r="370" spans="1:28" ht="16" customHeight="1" x14ac:dyDescent="0.2">
      <c r="A370" t="s">
        <v>498</v>
      </c>
      <c r="B370" t="s">
        <v>499</v>
      </c>
      <c r="C370" t="s">
        <v>782</v>
      </c>
      <c r="D370" t="s">
        <v>783</v>
      </c>
      <c r="E370" t="s">
        <v>502</v>
      </c>
      <c r="F370" t="s">
        <v>38</v>
      </c>
      <c r="G370" t="s">
        <v>503</v>
      </c>
      <c r="H370" s="15">
        <v>959</v>
      </c>
      <c r="I370" s="15">
        <f t="shared" si="85"/>
        <v>3.0181813928293364</v>
      </c>
      <c r="J370" s="17">
        <v>1.31</v>
      </c>
      <c r="K370" s="17">
        <v>471000</v>
      </c>
      <c r="L370" s="11" t="s">
        <v>35</v>
      </c>
      <c r="M370" s="11" t="s">
        <v>35</v>
      </c>
      <c r="N370" s="14">
        <v>65</v>
      </c>
      <c r="O370" s="11">
        <v>249.41</v>
      </c>
      <c r="P370" s="13">
        <v>3.6829999999999998</v>
      </c>
      <c r="Q370" s="11">
        <f t="shared" si="73"/>
        <v>46.037499999999994</v>
      </c>
      <c r="R370" s="20">
        <f t="shared" si="74"/>
        <v>18.458562206808065</v>
      </c>
      <c r="S370" s="20">
        <f t="shared" si="75"/>
        <v>0.18458562206808066</v>
      </c>
      <c r="T370" s="15">
        <f t="shared" si="76"/>
        <v>177.01761156328936</v>
      </c>
      <c r="U370" s="15">
        <f t="shared" si="77"/>
        <v>3.7519835233316394</v>
      </c>
      <c r="V370" s="21">
        <v>0.59099999999999997</v>
      </c>
      <c r="W370" s="20">
        <f t="shared" si="78"/>
        <v>12.575992397502036</v>
      </c>
      <c r="X370" s="20">
        <f t="shared" si="79"/>
        <v>31.74</v>
      </c>
      <c r="Y370" s="21">
        <f t="shared" si="80"/>
        <v>0.14827090830299111</v>
      </c>
      <c r="Z370" s="21">
        <f t="shared" si="81"/>
        <v>0.60931540457220834</v>
      </c>
      <c r="AA370" s="21">
        <f t="shared" si="82"/>
        <v>1.1583599999999998</v>
      </c>
      <c r="AB370" s="21">
        <f t="shared" si="83"/>
        <v>1.1942581929615284</v>
      </c>
    </row>
    <row r="371" spans="1:28" ht="16" customHeight="1" x14ac:dyDescent="0.2">
      <c r="A371" t="s">
        <v>498</v>
      </c>
      <c r="B371" t="s">
        <v>499</v>
      </c>
      <c r="C371" t="s">
        <v>784</v>
      </c>
      <c r="D371" t="s">
        <v>785</v>
      </c>
      <c r="E371" t="s">
        <v>502</v>
      </c>
      <c r="F371" t="s">
        <v>38</v>
      </c>
      <c r="G371" t="s">
        <v>503</v>
      </c>
      <c r="H371" s="15">
        <v>6970</v>
      </c>
      <c r="I371" s="15">
        <f t="shared" si="85"/>
        <v>2.1567672219019904</v>
      </c>
      <c r="J371" s="17">
        <v>1.27</v>
      </c>
      <c r="K371" s="17">
        <v>439000</v>
      </c>
      <c r="L371" s="11" t="s">
        <v>35</v>
      </c>
      <c r="M371" s="11" t="s">
        <v>81</v>
      </c>
      <c r="N371" s="14">
        <v>65</v>
      </c>
      <c r="O371" s="11">
        <v>249.46</v>
      </c>
      <c r="P371" s="23" t="s">
        <v>82</v>
      </c>
      <c r="Q371" s="11" t="str">
        <f t="shared" si="73"/>
        <v>-</v>
      </c>
      <c r="R371" s="24" t="str">
        <f t="shared" si="74"/>
        <v>-</v>
      </c>
      <c r="S371" s="20" t="str">
        <f t="shared" si="75"/>
        <v>-</v>
      </c>
      <c r="T371" s="15" t="str">
        <f t="shared" si="76"/>
        <v>-</v>
      </c>
      <c r="U371" s="15" t="str">
        <f t="shared" si="77"/>
        <v>-</v>
      </c>
      <c r="V371" s="21">
        <v>0.64400000000000002</v>
      </c>
      <c r="W371" s="20" t="str">
        <f t="shared" si="78"/>
        <v>-</v>
      </c>
      <c r="X371" s="20" t="str">
        <f t="shared" si="79"/>
        <v>-</v>
      </c>
      <c r="Y371" s="21" t="str">
        <f t="shared" si="80"/>
        <v>-</v>
      </c>
      <c r="Z371" s="21" t="str">
        <f t="shared" si="81"/>
        <v>-</v>
      </c>
      <c r="AA371" s="21">
        <f t="shared" si="82"/>
        <v>1.26224</v>
      </c>
      <c r="AB371" s="21" t="str">
        <f t="shared" si="83"/>
        <v>-</v>
      </c>
    </row>
    <row r="372" spans="1:28" ht="16" customHeight="1" x14ac:dyDescent="0.2">
      <c r="A372" t="s">
        <v>498</v>
      </c>
      <c r="B372" t="s">
        <v>499</v>
      </c>
      <c r="C372" t="s">
        <v>786</v>
      </c>
      <c r="D372" t="s">
        <v>787</v>
      </c>
      <c r="E372" t="s">
        <v>502</v>
      </c>
      <c r="F372" t="s">
        <v>38</v>
      </c>
      <c r="G372" t="s">
        <v>503</v>
      </c>
      <c r="H372" s="15">
        <v>321</v>
      </c>
      <c r="I372" s="15">
        <f t="shared" si="85"/>
        <v>3.4934949675951281</v>
      </c>
      <c r="J372" s="17">
        <v>1.28</v>
      </c>
      <c r="K372" s="17">
        <v>443000</v>
      </c>
      <c r="L372" s="11" t="s">
        <v>35</v>
      </c>
      <c r="M372" s="11" t="s">
        <v>81</v>
      </c>
      <c r="N372" s="14">
        <v>65</v>
      </c>
      <c r="O372" s="11">
        <v>250.6</v>
      </c>
      <c r="P372" s="23" t="s">
        <v>82</v>
      </c>
      <c r="Q372" s="11" t="str">
        <f t="shared" si="73"/>
        <v>-</v>
      </c>
      <c r="R372" s="24" t="str">
        <f t="shared" si="74"/>
        <v>-</v>
      </c>
      <c r="S372" s="20" t="str">
        <f t="shared" si="75"/>
        <v>-</v>
      </c>
      <c r="T372" s="15" t="str">
        <f t="shared" si="76"/>
        <v>-</v>
      </c>
      <c r="U372" s="15" t="str">
        <f t="shared" si="77"/>
        <v>-</v>
      </c>
      <c r="V372" s="21">
        <v>0.28799999999999998</v>
      </c>
      <c r="W372" s="20" t="str">
        <f t="shared" si="78"/>
        <v>-</v>
      </c>
      <c r="X372" s="20" t="str">
        <f t="shared" si="79"/>
        <v>-</v>
      </c>
      <c r="Y372" s="21" t="str">
        <f t="shared" si="80"/>
        <v>-</v>
      </c>
      <c r="Z372" s="21" t="str">
        <f t="shared" si="81"/>
        <v>-</v>
      </c>
      <c r="AA372" s="21">
        <f t="shared" si="82"/>
        <v>0.56447999999999998</v>
      </c>
      <c r="AB372" s="21" t="str">
        <f t="shared" si="83"/>
        <v>-</v>
      </c>
    </row>
    <row r="373" spans="1:28" ht="16" customHeight="1" x14ac:dyDescent="0.2">
      <c r="A373" t="s">
        <v>498</v>
      </c>
      <c r="B373" t="s">
        <v>499</v>
      </c>
      <c r="C373" t="s">
        <v>788</v>
      </c>
      <c r="D373" t="s">
        <v>789</v>
      </c>
      <c r="E373" t="s">
        <v>502</v>
      </c>
      <c r="F373" t="s">
        <v>33</v>
      </c>
      <c r="G373" t="s">
        <v>503</v>
      </c>
      <c r="H373" s="15">
        <v>13.3</v>
      </c>
      <c r="I373" s="15">
        <f t="shared" si="85"/>
        <v>4.8761483590329142</v>
      </c>
      <c r="J373" s="17">
        <v>0.55400000000000005</v>
      </c>
      <c r="K373" s="17">
        <v>232000</v>
      </c>
      <c r="L373" s="11" t="s">
        <v>35</v>
      </c>
      <c r="M373" s="11" t="s">
        <v>81</v>
      </c>
      <c r="N373" s="14">
        <v>65</v>
      </c>
      <c r="O373" s="11">
        <v>250.57</v>
      </c>
      <c r="P373" s="23" t="s">
        <v>82</v>
      </c>
      <c r="Q373" s="11" t="str">
        <f t="shared" si="73"/>
        <v>-</v>
      </c>
      <c r="R373" s="24" t="str">
        <f t="shared" si="74"/>
        <v>-</v>
      </c>
      <c r="S373" s="20" t="str">
        <f t="shared" si="75"/>
        <v>-</v>
      </c>
      <c r="T373" s="15" t="str">
        <f t="shared" si="76"/>
        <v>-</v>
      </c>
      <c r="U373" s="15" t="str">
        <f t="shared" si="77"/>
        <v>-</v>
      </c>
      <c r="V373" s="21">
        <v>8.5500000000000007E-2</v>
      </c>
      <c r="W373" s="20" t="str">
        <f t="shared" si="78"/>
        <v>-</v>
      </c>
      <c r="X373" s="20" t="str">
        <f t="shared" si="79"/>
        <v>-</v>
      </c>
      <c r="Y373" s="21" t="str">
        <f t="shared" si="80"/>
        <v>-</v>
      </c>
      <c r="Z373" s="21" t="str">
        <f t="shared" si="81"/>
        <v>-</v>
      </c>
      <c r="AA373" s="21">
        <f t="shared" si="82"/>
        <v>0.16758000000000001</v>
      </c>
      <c r="AB373" s="21" t="str">
        <f t="shared" si="83"/>
        <v>-</v>
      </c>
    </row>
    <row r="374" spans="1:28" ht="16" customHeight="1" x14ac:dyDescent="0.2">
      <c r="A374" t="s">
        <v>498</v>
      </c>
      <c r="B374" t="s">
        <v>499</v>
      </c>
      <c r="C374" t="s">
        <v>790</v>
      </c>
      <c r="D374" t="s">
        <v>791</v>
      </c>
      <c r="E374" t="s">
        <v>502</v>
      </c>
      <c r="F374" t="s">
        <v>38</v>
      </c>
      <c r="G374" t="s">
        <v>503</v>
      </c>
      <c r="H374" s="15">
        <v>226</v>
      </c>
      <c r="I374" s="15">
        <f t="shared" si="85"/>
        <v>3.6458915608525992</v>
      </c>
      <c r="J374" s="17">
        <v>1.25</v>
      </c>
      <c r="K374" s="17">
        <v>454000</v>
      </c>
      <c r="L374" s="11" t="s">
        <v>35</v>
      </c>
      <c r="M374" s="11" t="s">
        <v>81</v>
      </c>
      <c r="N374" s="14">
        <v>65</v>
      </c>
      <c r="O374" s="11">
        <v>250.16</v>
      </c>
      <c r="P374" s="23" t="s">
        <v>82</v>
      </c>
      <c r="Q374" s="11" t="str">
        <f t="shared" si="73"/>
        <v>-</v>
      </c>
      <c r="R374" s="24" t="str">
        <f t="shared" si="74"/>
        <v>-</v>
      </c>
      <c r="S374" s="20" t="str">
        <f t="shared" si="75"/>
        <v>-</v>
      </c>
      <c r="T374" s="15" t="str">
        <f t="shared" si="76"/>
        <v>-</v>
      </c>
      <c r="U374" s="15" t="str">
        <f t="shared" si="77"/>
        <v>-</v>
      </c>
      <c r="V374" s="21">
        <v>0.22700000000000001</v>
      </c>
      <c r="W374" s="20" t="str">
        <f t="shared" si="78"/>
        <v>-</v>
      </c>
      <c r="X374" s="20" t="str">
        <f t="shared" si="79"/>
        <v>-</v>
      </c>
      <c r="Y374" s="21" t="str">
        <f t="shared" si="80"/>
        <v>-</v>
      </c>
      <c r="Z374" s="21" t="str">
        <f t="shared" si="81"/>
        <v>-</v>
      </c>
      <c r="AA374" s="21">
        <f t="shared" si="82"/>
        <v>0.44491999999999998</v>
      </c>
      <c r="AB374" s="21" t="str">
        <f t="shared" si="83"/>
        <v>-</v>
      </c>
    </row>
    <row r="375" spans="1:28" ht="16" customHeight="1" x14ac:dyDescent="0.2">
      <c r="A375" t="s">
        <v>498</v>
      </c>
      <c r="B375" t="s">
        <v>499</v>
      </c>
      <c r="C375" t="s">
        <v>792</v>
      </c>
      <c r="D375" t="s">
        <v>793</v>
      </c>
      <c r="E375" t="s">
        <v>502</v>
      </c>
      <c r="F375" t="s">
        <v>38</v>
      </c>
      <c r="G375" t="s">
        <v>503</v>
      </c>
      <c r="H375" s="15">
        <v>9530</v>
      </c>
      <c r="I375" s="15">
        <f t="shared" si="85"/>
        <v>2.0209070993616738</v>
      </c>
      <c r="J375" s="17">
        <v>1.31</v>
      </c>
      <c r="K375" s="17">
        <v>470000</v>
      </c>
      <c r="L375" s="11" t="s">
        <v>35</v>
      </c>
      <c r="M375" s="11" t="s">
        <v>81</v>
      </c>
      <c r="N375" s="14">
        <v>65</v>
      </c>
      <c r="O375" s="11">
        <v>250.04</v>
      </c>
      <c r="P375" s="23" t="s">
        <v>82</v>
      </c>
      <c r="Q375" s="11" t="str">
        <f t="shared" si="73"/>
        <v>-</v>
      </c>
      <c r="R375" s="24" t="str">
        <f t="shared" si="74"/>
        <v>-</v>
      </c>
      <c r="S375" s="20" t="str">
        <f t="shared" si="75"/>
        <v>-</v>
      </c>
      <c r="T375" s="15" t="str">
        <f t="shared" si="76"/>
        <v>-</v>
      </c>
      <c r="U375" s="15" t="str">
        <f t="shared" si="77"/>
        <v>-</v>
      </c>
      <c r="V375" s="21">
        <v>0.63</v>
      </c>
      <c r="W375" s="20" t="str">
        <f t="shared" si="78"/>
        <v>-</v>
      </c>
      <c r="X375" s="20" t="str">
        <f t="shared" si="79"/>
        <v>-</v>
      </c>
      <c r="Y375" s="21" t="str">
        <f t="shared" si="80"/>
        <v>-</v>
      </c>
      <c r="Z375" s="21" t="str">
        <f t="shared" si="81"/>
        <v>-</v>
      </c>
      <c r="AA375" s="21">
        <f t="shared" si="82"/>
        <v>1.2347999999999999</v>
      </c>
      <c r="AB375" s="21" t="str">
        <f t="shared" si="83"/>
        <v>-</v>
      </c>
    </row>
    <row r="376" spans="1:28" ht="16" customHeight="1" x14ac:dyDescent="0.2">
      <c r="A376" t="s">
        <v>498</v>
      </c>
      <c r="B376" t="s">
        <v>499</v>
      </c>
      <c r="C376" t="s">
        <v>794</v>
      </c>
      <c r="D376" t="s">
        <v>795</v>
      </c>
      <c r="E376" t="s">
        <v>502</v>
      </c>
      <c r="F376" t="s">
        <v>38</v>
      </c>
      <c r="G376" t="s">
        <v>503</v>
      </c>
      <c r="H376" s="15">
        <v>13600</v>
      </c>
      <c r="I376" s="15">
        <f t="shared" si="85"/>
        <v>1.8664610916297826</v>
      </c>
      <c r="J376" s="17">
        <v>1.27</v>
      </c>
      <c r="K376" s="17">
        <v>460000</v>
      </c>
      <c r="L376" s="11" t="s">
        <v>35</v>
      </c>
      <c r="M376" s="11" t="s">
        <v>81</v>
      </c>
      <c r="N376" s="14">
        <v>65</v>
      </c>
      <c r="O376" s="11">
        <v>249.38</v>
      </c>
      <c r="P376" s="23" t="s">
        <v>82</v>
      </c>
      <c r="Q376" s="11" t="str">
        <f t="shared" si="73"/>
        <v>-</v>
      </c>
      <c r="R376" s="24" t="str">
        <f t="shared" si="74"/>
        <v>-</v>
      </c>
      <c r="S376" s="20" t="str">
        <f t="shared" si="75"/>
        <v>-</v>
      </c>
      <c r="T376" s="15" t="str">
        <f t="shared" si="76"/>
        <v>-</v>
      </c>
      <c r="U376" s="15" t="str">
        <f t="shared" si="77"/>
        <v>-</v>
      </c>
      <c r="V376" s="21">
        <v>0.60499999999999998</v>
      </c>
      <c r="W376" s="20" t="str">
        <f t="shared" si="78"/>
        <v>-</v>
      </c>
      <c r="X376" s="20" t="str">
        <f t="shared" si="79"/>
        <v>-</v>
      </c>
      <c r="Y376" s="21" t="str">
        <f t="shared" si="80"/>
        <v>-</v>
      </c>
      <c r="Z376" s="21" t="str">
        <f t="shared" si="81"/>
        <v>-</v>
      </c>
      <c r="AA376" s="21">
        <f t="shared" si="82"/>
        <v>1.1858</v>
      </c>
      <c r="AB376" s="21" t="str">
        <f t="shared" si="83"/>
        <v>-</v>
      </c>
    </row>
    <row r="377" spans="1:28" ht="16" customHeight="1" x14ac:dyDescent="0.2">
      <c r="A377" t="s">
        <v>498</v>
      </c>
      <c r="B377" t="s">
        <v>499</v>
      </c>
      <c r="C377" t="s">
        <v>796</v>
      </c>
      <c r="D377" t="s">
        <v>797</v>
      </c>
      <c r="E377" t="s">
        <v>502</v>
      </c>
      <c r="F377" t="s">
        <v>38</v>
      </c>
      <c r="G377" t="s">
        <v>503</v>
      </c>
      <c r="H377" s="15">
        <v>2650</v>
      </c>
      <c r="I377" s="15">
        <f t="shared" si="85"/>
        <v>2.5767541260631921</v>
      </c>
      <c r="J377" s="17">
        <v>1.22</v>
      </c>
      <c r="K377" s="17">
        <v>425000</v>
      </c>
      <c r="L377" s="11" t="s">
        <v>35</v>
      </c>
      <c r="M377" s="11" t="s">
        <v>35</v>
      </c>
      <c r="N377" s="14">
        <v>65</v>
      </c>
      <c r="O377" s="11">
        <v>249.1</v>
      </c>
      <c r="P377" s="13">
        <v>21.542000000000002</v>
      </c>
      <c r="Q377" s="11">
        <f t="shared" si="73"/>
        <v>269.27500000000003</v>
      </c>
      <c r="R377" s="20">
        <f t="shared" si="74"/>
        <v>108.09915696507429</v>
      </c>
      <c r="S377" s="20">
        <f t="shared" si="75"/>
        <v>1.0809915696507428</v>
      </c>
      <c r="T377" s="15">
        <f t="shared" si="76"/>
        <v>2864.6276595744685</v>
      </c>
      <c r="U377" s="15">
        <f t="shared" si="77"/>
        <v>2.5429318190372077</v>
      </c>
      <c r="V377" s="21">
        <v>0.30499999999999999</v>
      </c>
      <c r="W377" s="20">
        <f t="shared" si="78"/>
        <v>2.8630637823786089</v>
      </c>
      <c r="X377" s="20">
        <f t="shared" si="79"/>
        <v>31.74</v>
      </c>
      <c r="Y377" s="21">
        <f t="shared" si="80"/>
        <v>0.13840473425738536</v>
      </c>
      <c r="Z377" s="21">
        <f t="shared" si="81"/>
        <v>0.33493412854598359</v>
      </c>
      <c r="AA377" s="21">
        <f t="shared" si="82"/>
        <v>0.5978</v>
      </c>
      <c r="AB377" s="21">
        <f t="shared" si="83"/>
        <v>0.65647089195012787</v>
      </c>
    </row>
    <row r="378" spans="1:28" ht="16" customHeight="1" x14ac:dyDescent="0.2">
      <c r="A378" t="s">
        <v>498</v>
      </c>
      <c r="B378" t="s">
        <v>499</v>
      </c>
      <c r="C378" t="s">
        <v>798</v>
      </c>
      <c r="D378" t="s">
        <v>799</v>
      </c>
      <c r="E378" t="s">
        <v>502</v>
      </c>
      <c r="F378" t="s">
        <v>38</v>
      </c>
      <c r="G378" t="s">
        <v>503</v>
      </c>
      <c r="H378" s="15">
        <v>135</v>
      </c>
      <c r="I378" s="15">
        <f t="shared" si="85"/>
        <v>3.8696662315049939</v>
      </c>
      <c r="J378" s="17">
        <v>1.23</v>
      </c>
      <c r="K378" s="17">
        <v>486000</v>
      </c>
      <c r="L378" s="11" t="s">
        <v>247</v>
      </c>
      <c r="M378" s="11" t="s">
        <v>247</v>
      </c>
      <c r="N378" s="14">
        <v>20</v>
      </c>
      <c r="O378" s="11">
        <v>500.2</v>
      </c>
      <c r="P378" s="13">
        <v>43.08</v>
      </c>
      <c r="Q378" s="11">
        <f t="shared" si="73"/>
        <v>538.5</v>
      </c>
      <c r="R378" s="20">
        <f t="shared" si="74"/>
        <v>107.65693722510996</v>
      </c>
      <c r="S378" s="20">
        <f t="shared" si="75"/>
        <v>1.0765693722510996</v>
      </c>
      <c r="T378" s="15">
        <f t="shared" si="76"/>
        <v>145.33686525389845</v>
      </c>
      <c r="U378" s="15">
        <f t="shared" si="77"/>
        <v>3.837624211265477</v>
      </c>
      <c r="V378" s="21">
        <v>0.20599999999999999</v>
      </c>
      <c r="W378" s="20">
        <f t="shared" si="78"/>
        <v>1.8616248839368614</v>
      </c>
      <c r="X378" s="20">
        <f t="shared" si="79"/>
        <v>31.74</v>
      </c>
      <c r="Y378" s="21">
        <f t="shared" si="80"/>
        <v>0.13808196509811654</v>
      </c>
      <c r="Z378" s="21">
        <f t="shared" si="81"/>
        <v>0.24799723604378632</v>
      </c>
      <c r="AA378" s="21">
        <f t="shared" si="82"/>
        <v>0.40375999999999995</v>
      </c>
      <c r="AB378" s="21">
        <f t="shared" si="83"/>
        <v>0.48607458264582115</v>
      </c>
    </row>
    <row r="379" spans="1:28" ht="16" customHeight="1" x14ac:dyDescent="0.2">
      <c r="A379" t="s">
        <v>498</v>
      </c>
      <c r="B379" t="s">
        <v>499</v>
      </c>
      <c r="C379" t="s">
        <v>800</v>
      </c>
      <c r="D379" t="s">
        <v>801</v>
      </c>
      <c r="E379" t="s">
        <v>502</v>
      </c>
      <c r="F379" t="s">
        <v>33</v>
      </c>
      <c r="G379" t="s">
        <v>503</v>
      </c>
      <c r="H379" s="15">
        <v>1.96</v>
      </c>
      <c r="I379" s="15">
        <f t="shared" si="85"/>
        <v>5.7077439286435236</v>
      </c>
      <c r="J379" s="17">
        <v>0.73899999999999999</v>
      </c>
      <c r="K379" s="17">
        <v>286000</v>
      </c>
      <c r="L379" s="11" t="s">
        <v>35</v>
      </c>
      <c r="M379" s="11" t="s">
        <v>35</v>
      </c>
      <c r="N379" s="14">
        <v>65</v>
      </c>
      <c r="O379" s="11">
        <v>250.7</v>
      </c>
      <c r="P379" s="13">
        <v>5.2089999999999996</v>
      </c>
      <c r="Q379" s="11">
        <f t="shared" si="73"/>
        <v>65.112499999999997</v>
      </c>
      <c r="R379" s="20">
        <f t="shared" si="74"/>
        <v>25.972277622656563</v>
      </c>
      <c r="S379" s="20">
        <f t="shared" si="75"/>
        <v>0.25972277622656564</v>
      </c>
      <c r="T379" s="15">
        <f t="shared" si="76"/>
        <v>0.5090566414040687</v>
      </c>
      <c r="U379" s="15">
        <f t="shared" si="77"/>
        <v>6.2932338921609867</v>
      </c>
      <c r="V379" s="21">
        <v>6.0600000000000001E-2</v>
      </c>
      <c r="W379" s="20">
        <f t="shared" si="78"/>
        <v>9.1437396813207901</v>
      </c>
      <c r="X379" s="20">
        <f t="shared" si="79"/>
        <v>31.74</v>
      </c>
      <c r="Y379" s="21">
        <f t="shared" si="80"/>
        <v>0.1434510618185334</v>
      </c>
      <c r="Z379" s="21">
        <f t="shared" si="81"/>
        <v>0.1557259359800566</v>
      </c>
      <c r="AA379" s="21">
        <f t="shared" si="82"/>
        <v>0.11877600000000001</v>
      </c>
      <c r="AB379" s="21">
        <f t="shared" si="83"/>
        <v>0.30522283452091092</v>
      </c>
    </row>
    <row r="380" spans="1:28" ht="16" customHeight="1" x14ac:dyDescent="0.2">
      <c r="A380" t="s">
        <v>498</v>
      </c>
      <c r="B380" t="s">
        <v>499</v>
      </c>
      <c r="C380" t="s">
        <v>802</v>
      </c>
      <c r="D380" t="s">
        <v>803</v>
      </c>
      <c r="E380" t="s">
        <v>502</v>
      </c>
      <c r="F380" t="s">
        <v>38</v>
      </c>
      <c r="G380" t="s">
        <v>503</v>
      </c>
      <c r="H380" s="15">
        <v>94.2</v>
      </c>
      <c r="I380" s="15">
        <f t="shared" si="85"/>
        <v>4.025949097207123</v>
      </c>
      <c r="J380" s="17">
        <v>1.1399999999999999</v>
      </c>
      <c r="K380" s="17">
        <v>460000</v>
      </c>
      <c r="L380" s="11" t="s">
        <v>35</v>
      </c>
      <c r="M380" s="11" t="s">
        <v>81</v>
      </c>
      <c r="N380" s="14">
        <v>65</v>
      </c>
      <c r="O380" s="11">
        <v>249.4</v>
      </c>
      <c r="P380" s="23" t="s">
        <v>82</v>
      </c>
      <c r="Q380" s="11" t="str">
        <f t="shared" si="73"/>
        <v>-</v>
      </c>
      <c r="R380" s="24" t="str">
        <f t="shared" si="74"/>
        <v>-</v>
      </c>
      <c r="S380" s="20" t="str">
        <f t="shared" si="75"/>
        <v>-</v>
      </c>
      <c r="T380" s="15" t="str">
        <f t="shared" si="76"/>
        <v>-</v>
      </c>
      <c r="U380" s="15" t="str">
        <f t="shared" si="77"/>
        <v>-</v>
      </c>
      <c r="V380" s="21">
        <v>0.21</v>
      </c>
      <c r="W380" s="20" t="str">
        <f t="shared" si="78"/>
        <v>-</v>
      </c>
      <c r="X380" s="20" t="str">
        <f t="shared" si="79"/>
        <v>-</v>
      </c>
      <c r="Y380" s="21" t="str">
        <f t="shared" si="80"/>
        <v>-</v>
      </c>
      <c r="Z380" s="21" t="str">
        <f t="shared" si="81"/>
        <v>-</v>
      </c>
      <c r="AA380" s="21">
        <f t="shared" si="82"/>
        <v>0.41159999999999997</v>
      </c>
      <c r="AB380" s="21" t="str">
        <f t="shared" si="83"/>
        <v>-</v>
      </c>
    </row>
    <row r="381" spans="1:28" ht="16" customHeight="1" x14ac:dyDescent="0.2">
      <c r="A381" t="s">
        <v>498</v>
      </c>
      <c r="B381" t="s">
        <v>499</v>
      </c>
      <c r="C381" t="s">
        <v>804</v>
      </c>
      <c r="D381" t="s">
        <v>805</v>
      </c>
      <c r="E381" t="s">
        <v>502</v>
      </c>
      <c r="F381" t="s">
        <v>33</v>
      </c>
      <c r="G381" t="s">
        <v>503</v>
      </c>
      <c r="H381" s="15">
        <v>5.52</v>
      </c>
      <c r="I381" s="15">
        <f t="shared" si="85"/>
        <v>5.2580609222708015</v>
      </c>
      <c r="J381" s="17">
        <v>1.02</v>
      </c>
      <c r="K381" s="17">
        <v>384000</v>
      </c>
      <c r="L381" s="11" t="s">
        <v>35</v>
      </c>
      <c r="M381" s="11" t="s">
        <v>35</v>
      </c>
      <c r="N381" s="14">
        <v>65</v>
      </c>
      <c r="O381" s="11">
        <v>250.39</v>
      </c>
      <c r="P381" s="13">
        <v>11.010999999999999</v>
      </c>
      <c r="Q381" s="11">
        <f t="shared" si="73"/>
        <v>137.63749999999999</v>
      </c>
      <c r="R381" s="20">
        <f t="shared" si="74"/>
        <v>54.969247973161863</v>
      </c>
      <c r="S381" s="20">
        <f t="shared" si="75"/>
        <v>0.54969247973161861</v>
      </c>
      <c r="T381" s="15">
        <f t="shared" si="76"/>
        <v>3.0343024881185343</v>
      </c>
      <c r="U381" s="15">
        <f t="shared" si="77"/>
        <v>5.5179411267884273</v>
      </c>
      <c r="V381" s="21">
        <v>9.5500000000000002E-2</v>
      </c>
      <c r="W381" s="20">
        <f t="shared" si="78"/>
        <v>4.77880846426301</v>
      </c>
      <c r="X381" s="20">
        <f t="shared" si="79"/>
        <v>31.74</v>
      </c>
      <c r="Y381" s="21">
        <f t="shared" si="80"/>
        <v>0.13939869315272663</v>
      </c>
      <c r="Z381" s="21">
        <f t="shared" si="81"/>
        <v>0.16897409757914977</v>
      </c>
      <c r="AA381" s="21">
        <f t="shared" si="82"/>
        <v>0.18718000000000001</v>
      </c>
      <c r="AB381" s="21">
        <f t="shared" si="83"/>
        <v>0.33118923125513355</v>
      </c>
    </row>
    <row r="382" spans="1:28" ht="16" customHeight="1" x14ac:dyDescent="0.2">
      <c r="A382" t="s">
        <v>498</v>
      </c>
      <c r="B382" t="s">
        <v>499</v>
      </c>
      <c r="C382" t="s">
        <v>806</v>
      </c>
      <c r="D382" t="s">
        <v>807</v>
      </c>
      <c r="E382" t="s">
        <v>502</v>
      </c>
      <c r="F382" t="s">
        <v>33</v>
      </c>
      <c r="G382" t="s">
        <v>503</v>
      </c>
      <c r="H382" s="15">
        <v>10.7</v>
      </c>
      <c r="I382" s="15">
        <f t="shared" si="85"/>
        <v>4.9706162223147903</v>
      </c>
      <c r="J382" s="17">
        <v>1.18</v>
      </c>
      <c r="K382" s="17">
        <v>472000</v>
      </c>
      <c r="L382" s="11" t="s">
        <v>35</v>
      </c>
      <c r="M382" s="11" t="s">
        <v>35</v>
      </c>
      <c r="N382" s="14">
        <v>65</v>
      </c>
      <c r="O382" s="11">
        <v>250.46</v>
      </c>
      <c r="P382" s="13">
        <v>14.879</v>
      </c>
      <c r="Q382" s="11">
        <f t="shared" si="73"/>
        <v>185.98749999999998</v>
      </c>
      <c r="R382" s="20">
        <f t="shared" si="74"/>
        <v>74.258364609119212</v>
      </c>
      <c r="S382" s="20">
        <f t="shared" si="75"/>
        <v>0.7425836460911921</v>
      </c>
      <c r="T382" s="15">
        <f t="shared" si="76"/>
        <v>7.9456450131757546</v>
      </c>
      <c r="U382" s="15">
        <f t="shared" si="77"/>
        <v>5.0998708417803744</v>
      </c>
      <c r="V382" s="21">
        <v>9.0800000000000006E-2</v>
      </c>
      <c r="W382" s="20">
        <f t="shared" si="78"/>
        <v>3.7600604879360171</v>
      </c>
      <c r="X382" s="20">
        <f t="shared" si="79"/>
        <v>31.74</v>
      </c>
      <c r="Y382" s="21">
        <f t="shared" si="80"/>
        <v>0.13880894487545298</v>
      </c>
      <c r="Z382" s="21">
        <f t="shared" si="81"/>
        <v>0.16586911459773498</v>
      </c>
      <c r="AA382" s="21">
        <f t="shared" si="82"/>
        <v>0.17796800000000002</v>
      </c>
      <c r="AB382" s="21">
        <f t="shared" si="83"/>
        <v>0.32510346461156059</v>
      </c>
    </row>
    <row r="383" spans="1:28" ht="16" customHeight="1" x14ac:dyDescent="0.2">
      <c r="A383" t="s">
        <v>498</v>
      </c>
      <c r="B383" t="s">
        <v>499</v>
      </c>
      <c r="C383" t="s">
        <v>808</v>
      </c>
      <c r="D383" t="s">
        <v>809</v>
      </c>
      <c r="E383" t="s">
        <v>502</v>
      </c>
      <c r="F383" t="s">
        <v>38</v>
      </c>
      <c r="G383" t="s">
        <v>503</v>
      </c>
      <c r="H383" s="15">
        <v>4.78</v>
      </c>
      <c r="I383" s="15">
        <f t="shared" si="85"/>
        <v>5.3205721033878808</v>
      </c>
      <c r="J383" s="17">
        <v>0.57999999999999996</v>
      </c>
      <c r="K383" s="17">
        <v>240000</v>
      </c>
      <c r="L383" s="11" t="s">
        <v>35</v>
      </c>
      <c r="M383" s="11" t="s">
        <v>35</v>
      </c>
      <c r="N383" s="14">
        <v>65</v>
      </c>
      <c r="O383" s="11">
        <v>250.03</v>
      </c>
      <c r="P383" s="13">
        <v>15.039</v>
      </c>
      <c r="Q383" s="11">
        <f t="shared" si="73"/>
        <v>187.98749999999998</v>
      </c>
      <c r="R383" s="20">
        <f t="shared" si="74"/>
        <v>75.185977682678072</v>
      </c>
      <c r="S383" s="20">
        <f t="shared" si="75"/>
        <v>0.75185977682678073</v>
      </c>
      <c r="T383" s="15">
        <f t="shared" si="76"/>
        <v>3.5938897332320119</v>
      </c>
      <c r="U383" s="15">
        <f t="shared" si="77"/>
        <v>5.4444352519303045</v>
      </c>
      <c r="V383" s="21">
        <v>0.14299999999999999</v>
      </c>
      <c r="W383" s="20">
        <f t="shared" si="78"/>
        <v>3.7292067291708224</v>
      </c>
      <c r="X383" s="20">
        <f t="shared" si="79"/>
        <v>31.74</v>
      </c>
      <c r="Y383" s="21">
        <f t="shared" si="80"/>
        <v>0.13879324511085045</v>
      </c>
      <c r="Z383" s="21">
        <f t="shared" si="81"/>
        <v>0.19928011664087467</v>
      </c>
      <c r="AA383" s="21">
        <f t="shared" si="82"/>
        <v>0.28027999999999997</v>
      </c>
      <c r="AB383" s="21">
        <f t="shared" si="83"/>
        <v>0.39058902861611433</v>
      </c>
    </row>
    <row r="384" spans="1:28" ht="16" customHeight="1" x14ac:dyDescent="0.2">
      <c r="A384" t="s">
        <v>498</v>
      </c>
      <c r="B384" t="s">
        <v>499</v>
      </c>
      <c r="C384" t="s">
        <v>810</v>
      </c>
      <c r="D384" t="s">
        <v>811</v>
      </c>
      <c r="E384" t="s">
        <v>502</v>
      </c>
      <c r="F384" t="s">
        <v>38</v>
      </c>
      <c r="G384" t="s">
        <v>503</v>
      </c>
      <c r="H384" s="15">
        <v>17400</v>
      </c>
      <c r="I384" s="15">
        <f t="shared" si="85"/>
        <v>1.7594507517174003</v>
      </c>
      <c r="J384" s="17">
        <v>1.27</v>
      </c>
      <c r="K384" s="17">
        <v>500000</v>
      </c>
      <c r="L384" s="11" t="s">
        <v>35</v>
      </c>
      <c r="M384" s="11" t="s">
        <v>35</v>
      </c>
      <c r="N384" s="14">
        <v>65</v>
      </c>
      <c r="O384" s="11">
        <v>250.76</v>
      </c>
      <c r="P384" s="13">
        <v>15.962999999999999</v>
      </c>
      <c r="Q384" s="11">
        <f t="shared" si="73"/>
        <v>199.53749999999999</v>
      </c>
      <c r="R384" s="20">
        <f t="shared" si="74"/>
        <v>79.573097782740462</v>
      </c>
      <c r="S384" s="20">
        <f t="shared" si="75"/>
        <v>0.79573097782740465</v>
      </c>
      <c r="T384" s="15">
        <f t="shared" si="76"/>
        <v>13845.71901419684</v>
      </c>
      <c r="U384" s="15">
        <f t="shared" si="77"/>
        <v>1.8586844862318803</v>
      </c>
      <c r="V384" s="21">
        <v>0.55200000000000005</v>
      </c>
      <c r="W384" s="20">
        <f t="shared" si="78"/>
        <v>3.5631259788260352</v>
      </c>
      <c r="X384" s="20">
        <f t="shared" si="79"/>
        <v>31.74</v>
      </c>
      <c r="Y384" s="21">
        <f t="shared" si="80"/>
        <v>0.13871092899385679</v>
      </c>
      <c r="Z384" s="21">
        <f t="shared" si="81"/>
        <v>0.56916141982950563</v>
      </c>
      <c r="AA384" s="21">
        <f t="shared" si="82"/>
        <v>1.08192</v>
      </c>
      <c r="AB384" s="21">
        <f t="shared" si="83"/>
        <v>1.115556382865831</v>
      </c>
    </row>
    <row r="385" spans="1:28" ht="16" customHeight="1" x14ac:dyDescent="0.2">
      <c r="A385" t="s">
        <v>498</v>
      </c>
      <c r="B385" t="s">
        <v>499</v>
      </c>
      <c r="C385" t="s">
        <v>812</v>
      </c>
      <c r="D385" t="s">
        <v>813</v>
      </c>
      <c r="E385" t="s">
        <v>502</v>
      </c>
      <c r="F385" t="s">
        <v>33</v>
      </c>
      <c r="G385" t="s">
        <v>503</v>
      </c>
      <c r="H385" s="15">
        <v>8.68</v>
      </c>
      <c r="I385" s="15">
        <f t="shared" si="85"/>
        <v>5.0614802748235084</v>
      </c>
      <c r="J385" s="17">
        <v>1.02</v>
      </c>
      <c r="K385" s="17">
        <v>368000</v>
      </c>
      <c r="L385" s="11" t="s">
        <v>247</v>
      </c>
      <c r="M385" s="11" t="s">
        <v>247</v>
      </c>
      <c r="N385" s="14">
        <v>20</v>
      </c>
      <c r="O385" s="11">
        <v>498.82</v>
      </c>
      <c r="P385" s="13">
        <v>1.9</v>
      </c>
      <c r="Q385" s="11">
        <f t="shared" si="73"/>
        <v>23.75</v>
      </c>
      <c r="R385" s="20">
        <f t="shared" si="74"/>
        <v>4.7612365181829119</v>
      </c>
      <c r="S385" s="20">
        <f t="shared" si="75"/>
        <v>4.7612365181829118E-2</v>
      </c>
      <c r="T385" s="15">
        <f t="shared" si="76"/>
        <v>0.41327532977827675</v>
      </c>
      <c r="U385" s="15">
        <f t="shared" si="77"/>
        <v>6.3837605188918767</v>
      </c>
      <c r="V385" s="21">
        <v>0.11700000000000001</v>
      </c>
      <c r="W385" s="20">
        <f t="shared" si="78"/>
        <v>23.570526315789472</v>
      </c>
      <c r="X385" s="20">
        <f t="shared" si="79"/>
        <v>31.74</v>
      </c>
      <c r="Y385" s="21">
        <f t="shared" si="80"/>
        <v>0.17169728454905855</v>
      </c>
      <c r="Z385" s="21">
        <f t="shared" si="81"/>
        <v>0.20777140689113213</v>
      </c>
      <c r="AA385" s="21">
        <f t="shared" si="82"/>
        <v>0.22932</v>
      </c>
      <c r="AB385" s="21">
        <f t="shared" si="83"/>
        <v>0.40723195750661895</v>
      </c>
    </row>
    <row r="386" spans="1:28" ht="16" customHeight="1" x14ac:dyDescent="0.2">
      <c r="A386" t="s">
        <v>498</v>
      </c>
      <c r="B386" t="s">
        <v>499</v>
      </c>
      <c r="C386" t="s">
        <v>814</v>
      </c>
      <c r="D386" t="s">
        <v>815</v>
      </c>
      <c r="E386" t="s">
        <v>502</v>
      </c>
      <c r="F386" t="s">
        <v>33</v>
      </c>
      <c r="G386" t="s">
        <v>503</v>
      </c>
      <c r="H386" s="15">
        <v>1.85</v>
      </c>
      <c r="I386" s="15">
        <f t="shared" si="85"/>
        <v>5.7328282715969863</v>
      </c>
      <c r="J386" s="17">
        <v>0.66900000000000004</v>
      </c>
      <c r="K386" s="17">
        <v>266000</v>
      </c>
      <c r="L386" s="11" t="s">
        <v>35</v>
      </c>
      <c r="M386" s="11" t="s">
        <v>35</v>
      </c>
      <c r="N386" s="14">
        <v>65</v>
      </c>
      <c r="O386" s="11">
        <v>249.31</v>
      </c>
      <c r="P386" s="13">
        <v>8.5719999999999992</v>
      </c>
      <c r="Q386" s="11">
        <f t="shared" ref="Q386:Q449" si="86">IF(ISNUMBER(P386),12.5*P386,"-")</f>
        <v>107.14999999999999</v>
      </c>
      <c r="R386" s="20">
        <f t="shared" ref="R386:R449" si="87">IF(OR(Q386="-",O386="",O386=0),"-",Q386/O386*100)</f>
        <v>42.978620993943281</v>
      </c>
      <c r="S386" s="20">
        <f t="shared" ref="S386:S449" si="88">IF(R386="-","-",R386/100)</f>
        <v>0.42978620993943278</v>
      </c>
      <c r="T386" s="15">
        <f t="shared" ref="T386:T449" si="89">IF(H386="no data","no data",IF(OR(H386="",S386="-",S386=""),"-",H386*S386))</f>
        <v>0.79510448838795067</v>
      </c>
      <c r="U386" s="15">
        <f t="shared" ref="U386:U449" si="90">IF(T386="no data","no data",IF(T386="-","-",IF(T386="","",IF(T386=0,0,-LOG10(T386*10^-6)))))</f>
        <v>6.0995757949303675</v>
      </c>
      <c r="V386" s="21">
        <v>3.6700000000000003E-2</v>
      </c>
      <c r="W386" s="20">
        <f t="shared" ref="W386:W449" si="91">IF(OR(NOT(ISNUMBER(P386)),P386=0),"-",43.15/P386+0.86)</f>
        <v>5.8938310779281391</v>
      </c>
      <c r="X386" s="20">
        <f t="shared" ref="X386:X449" si="92">IF(W386="-","-",31.74)</f>
        <v>31.74</v>
      </c>
      <c r="Y386" s="21">
        <f t="shared" ref="Y386:Y449" si="93">IF(OR(W386="-",X386="-"),"-",SQRT((W386/100)^2+(X386/100)^2)/LN(10))</f>
        <v>0.14020145503484852</v>
      </c>
      <c r="Z386" s="21">
        <f t="shared" ref="Z386:Z449" si="94">IF(OR(V386="-",Y386="-",U386="no data",U386="",U386="-"),"-",SQRT(V386^2+Y386^2))</f>
        <v>0.14492528417736034</v>
      </c>
      <c r="AA386" s="21">
        <f t="shared" ref="AA386:AA449" si="95">IF(V386="-","-",V386*1.96)</f>
        <v>7.193200000000001E-2</v>
      </c>
      <c r="AB386" s="21">
        <f t="shared" ref="AB386:AB449" si="96">IF(Z386="-","-",Z386*1.96)</f>
        <v>0.28405355698762624</v>
      </c>
    </row>
    <row r="387" spans="1:28" ht="16" customHeight="1" x14ac:dyDescent="0.2">
      <c r="A387" t="s">
        <v>498</v>
      </c>
      <c r="B387" t="s">
        <v>499</v>
      </c>
      <c r="C387" t="s">
        <v>816</v>
      </c>
      <c r="D387" t="s">
        <v>817</v>
      </c>
      <c r="E387" t="s">
        <v>502</v>
      </c>
      <c r="F387" t="s">
        <v>38</v>
      </c>
      <c r="G387" t="s">
        <v>503</v>
      </c>
      <c r="H387" s="15">
        <v>9320</v>
      </c>
      <c r="I387" s="15">
        <f t="shared" si="85"/>
        <v>2.0305840876460186</v>
      </c>
      <c r="J387" s="17">
        <v>1.26</v>
      </c>
      <c r="K387" s="17">
        <v>436000</v>
      </c>
      <c r="L387" s="11" t="s">
        <v>247</v>
      </c>
      <c r="M387" s="11" t="s">
        <v>247</v>
      </c>
      <c r="N387" s="14">
        <v>20</v>
      </c>
      <c r="O387" s="11">
        <v>498.82</v>
      </c>
      <c r="P387" s="13">
        <v>11.21</v>
      </c>
      <c r="Q387" s="11">
        <f t="shared" si="86"/>
        <v>140.125</v>
      </c>
      <c r="R387" s="20">
        <f t="shared" si="87"/>
        <v>28.09129545727918</v>
      </c>
      <c r="S387" s="20">
        <f t="shared" si="88"/>
        <v>0.28091295457279181</v>
      </c>
      <c r="T387" s="15">
        <f t="shared" si="89"/>
        <v>2618.1087366184197</v>
      </c>
      <c r="U387" s="15">
        <f t="shared" si="90"/>
        <v>2.5820123200722427</v>
      </c>
      <c r="V387" s="21">
        <v>0.60899999999999999</v>
      </c>
      <c r="W387" s="20">
        <f t="shared" si="91"/>
        <v>4.7092417484388935</v>
      </c>
      <c r="X387" s="20">
        <f t="shared" si="92"/>
        <v>31.74</v>
      </c>
      <c r="Y387" s="21">
        <f t="shared" si="93"/>
        <v>0.13935403220075229</v>
      </c>
      <c r="Z387" s="21">
        <f t="shared" si="94"/>
        <v>0.62474038311174374</v>
      </c>
      <c r="AA387" s="21">
        <f t="shared" si="95"/>
        <v>1.19364</v>
      </c>
      <c r="AB387" s="21">
        <f t="shared" si="96"/>
        <v>1.2244911508990177</v>
      </c>
    </row>
    <row r="388" spans="1:28" ht="16" customHeight="1" x14ac:dyDescent="0.2">
      <c r="A388" t="s">
        <v>498</v>
      </c>
      <c r="B388" t="s">
        <v>499</v>
      </c>
      <c r="C388" t="s">
        <v>818</v>
      </c>
      <c r="D388" t="s">
        <v>819</v>
      </c>
      <c r="E388" t="s">
        <v>502</v>
      </c>
      <c r="F388" t="s">
        <v>38</v>
      </c>
      <c r="G388" t="s">
        <v>503</v>
      </c>
      <c r="H388" s="15">
        <v>3.57</v>
      </c>
      <c r="I388" s="15">
        <f t="shared" si="85"/>
        <v>5.4473317838878073</v>
      </c>
      <c r="J388" s="17">
        <v>1</v>
      </c>
      <c r="K388" s="17">
        <v>413000</v>
      </c>
      <c r="L388" s="11" t="s">
        <v>35</v>
      </c>
      <c r="M388" s="11" t="s">
        <v>35</v>
      </c>
      <c r="N388" s="14">
        <v>65</v>
      </c>
      <c r="O388" s="11">
        <v>250.59</v>
      </c>
      <c r="P388" s="13">
        <v>29.395</v>
      </c>
      <c r="Q388" s="11">
        <f t="shared" si="86"/>
        <v>367.4375</v>
      </c>
      <c r="R388" s="20">
        <f t="shared" si="87"/>
        <v>146.62895566463149</v>
      </c>
      <c r="S388" s="20">
        <f t="shared" si="88"/>
        <v>1.466289556646315</v>
      </c>
      <c r="T388" s="15">
        <f t="shared" si="89"/>
        <v>5.234653717227344</v>
      </c>
      <c r="U388" s="15">
        <f t="shared" si="90"/>
        <v>5.2811120424801699</v>
      </c>
      <c r="V388" s="21">
        <v>0.20100000000000001</v>
      </c>
      <c r="W388" s="20">
        <f t="shared" si="91"/>
        <v>2.3279367239326416</v>
      </c>
      <c r="X388" s="20">
        <f t="shared" si="92"/>
        <v>31.74</v>
      </c>
      <c r="Y388" s="21">
        <f t="shared" si="93"/>
        <v>0.13821532860753971</v>
      </c>
      <c r="Z388" s="21">
        <f t="shared" si="94"/>
        <v>0.24393539526294702</v>
      </c>
      <c r="AA388" s="21">
        <f t="shared" si="95"/>
        <v>0.39396000000000003</v>
      </c>
      <c r="AB388" s="21">
        <f t="shared" si="96"/>
        <v>0.47811337471537618</v>
      </c>
    </row>
    <row r="389" spans="1:28" ht="16" customHeight="1" x14ac:dyDescent="0.2">
      <c r="A389" t="s">
        <v>498</v>
      </c>
      <c r="B389" t="s">
        <v>499</v>
      </c>
      <c r="C389" t="s">
        <v>820</v>
      </c>
      <c r="D389" t="s">
        <v>821</v>
      </c>
      <c r="E389" t="s">
        <v>502</v>
      </c>
      <c r="F389" t="s">
        <v>38</v>
      </c>
      <c r="G389" t="s">
        <v>503</v>
      </c>
      <c r="H389" s="15">
        <v>410</v>
      </c>
      <c r="I389" s="15">
        <f t="shared" ref="I389:I420" si="97">IF(H389=0, 0, -LOG10(H389*10^-6))</f>
        <v>3.3872161432802645</v>
      </c>
      <c r="J389" s="17">
        <v>1.2</v>
      </c>
      <c r="K389" s="17">
        <v>479000</v>
      </c>
      <c r="L389" s="11" t="s">
        <v>35</v>
      </c>
      <c r="M389" s="11" t="s">
        <v>35</v>
      </c>
      <c r="N389" s="14">
        <v>65</v>
      </c>
      <c r="O389" s="11">
        <v>249.38</v>
      </c>
      <c r="P389" s="13">
        <v>20.361000000000001</v>
      </c>
      <c r="Q389" s="11">
        <f t="shared" si="86"/>
        <v>254.51250000000002</v>
      </c>
      <c r="R389" s="20">
        <f t="shared" si="87"/>
        <v>102.05810409816345</v>
      </c>
      <c r="S389" s="20">
        <f t="shared" si="88"/>
        <v>1.0205810409816345</v>
      </c>
      <c r="T389" s="15">
        <f t="shared" si="89"/>
        <v>418.43822680247013</v>
      </c>
      <c r="U389" s="15">
        <f t="shared" si="90"/>
        <v>3.3783686469633936</v>
      </c>
      <c r="V389" s="21">
        <v>0.28199999999999997</v>
      </c>
      <c r="W389" s="20">
        <f t="shared" si="91"/>
        <v>2.9792475811600605</v>
      </c>
      <c r="X389" s="20">
        <f t="shared" si="92"/>
        <v>31.74</v>
      </c>
      <c r="Y389" s="21">
        <f t="shared" si="93"/>
        <v>0.138450977194057</v>
      </c>
      <c r="Z389" s="21">
        <f t="shared" si="94"/>
        <v>0.31415390031955559</v>
      </c>
      <c r="AA389" s="21">
        <f t="shared" si="95"/>
        <v>0.55271999999999999</v>
      </c>
      <c r="AB389" s="21">
        <f t="shared" si="96"/>
        <v>0.61574164462632897</v>
      </c>
    </row>
    <row r="390" spans="1:28" ht="16" customHeight="1" x14ac:dyDescent="0.2">
      <c r="A390" t="s">
        <v>498</v>
      </c>
      <c r="B390" t="s">
        <v>499</v>
      </c>
      <c r="C390" t="s">
        <v>822</v>
      </c>
      <c r="D390" t="s">
        <v>823</v>
      </c>
      <c r="E390" t="s">
        <v>502</v>
      </c>
      <c r="F390" t="s">
        <v>38</v>
      </c>
      <c r="G390" t="s">
        <v>503</v>
      </c>
      <c r="H390" s="15">
        <v>49.8</v>
      </c>
      <c r="I390" s="15">
        <f t="shared" si="97"/>
        <v>4.3027706572402824</v>
      </c>
      <c r="J390" s="17">
        <v>0.59699999999999998</v>
      </c>
      <c r="K390" s="17">
        <v>245000</v>
      </c>
      <c r="L390" s="11" t="s">
        <v>247</v>
      </c>
      <c r="M390" s="11" t="s">
        <v>247</v>
      </c>
      <c r="N390" s="14">
        <v>20</v>
      </c>
      <c r="O390" s="11">
        <v>500.92</v>
      </c>
      <c r="P390" s="13">
        <v>18.28</v>
      </c>
      <c r="Q390" s="11">
        <f t="shared" si="86"/>
        <v>228.5</v>
      </c>
      <c r="R390" s="20">
        <f t="shared" si="87"/>
        <v>45.616066437754533</v>
      </c>
      <c r="S390" s="20">
        <f t="shared" si="88"/>
        <v>0.45616066437754532</v>
      </c>
      <c r="T390" s="15">
        <f t="shared" si="89"/>
        <v>22.716801086001755</v>
      </c>
      <c r="U390" s="15">
        <f t="shared" si="90"/>
        <v>4.6436528247440059</v>
      </c>
      <c r="V390" s="21">
        <v>0.16</v>
      </c>
      <c r="W390" s="20">
        <f t="shared" si="91"/>
        <v>3.2205032822757107</v>
      </c>
      <c r="X390" s="20">
        <f t="shared" si="92"/>
        <v>31.74</v>
      </c>
      <c r="Y390" s="21">
        <f t="shared" si="93"/>
        <v>0.13855282102357849</v>
      </c>
      <c r="Z390" s="21">
        <f t="shared" si="94"/>
        <v>0.21165274440363815</v>
      </c>
      <c r="AA390" s="21">
        <f t="shared" si="95"/>
        <v>0.31359999999999999</v>
      </c>
      <c r="AB390" s="21">
        <f t="shared" si="96"/>
        <v>0.41483937903113077</v>
      </c>
    </row>
    <row r="391" spans="1:28" ht="16" customHeight="1" x14ac:dyDescent="0.2">
      <c r="A391" t="s">
        <v>498</v>
      </c>
      <c r="B391" t="s">
        <v>499</v>
      </c>
      <c r="C391" t="s">
        <v>824</v>
      </c>
      <c r="D391" t="s">
        <v>825</v>
      </c>
      <c r="E391" t="s">
        <v>502</v>
      </c>
      <c r="F391" t="s">
        <v>33</v>
      </c>
      <c r="G391" t="s">
        <v>503</v>
      </c>
      <c r="H391" s="15">
        <v>7.27</v>
      </c>
      <c r="I391" s="15">
        <f t="shared" si="97"/>
        <v>5.1384655891409619</v>
      </c>
      <c r="J391" s="17">
        <v>0.79100000000000004</v>
      </c>
      <c r="K391" s="17">
        <v>344000</v>
      </c>
      <c r="L391" s="11" t="s">
        <v>247</v>
      </c>
      <c r="M391" s="11" t="s">
        <v>247</v>
      </c>
      <c r="N391" s="14">
        <v>20</v>
      </c>
      <c r="O391" s="11">
        <v>499.1</v>
      </c>
      <c r="P391" s="13">
        <v>10.68</v>
      </c>
      <c r="Q391" s="11">
        <f t="shared" si="86"/>
        <v>133.5</v>
      </c>
      <c r="R391" s="20">
        <f t="shared" si="87"/>
        <v>26.748146663995193</v>
      </c>
      <c r="S391" s="20">
        <f t="shared" si="88"/>
        <v>0.26748146663995193</v>
      </c>
      <c r="T391" s="15">
        <f t="shared" si="89"/>
        <v>1.9445902624724505</v>
      </c>
      <c r="U391" s="15">
        <f t="shared" si="90"/>
        <v>5.7111718933064903</v>
      </c>
      <c r="V391" s="21">
        <v>8.0199999999999994E-2</v>
      </c>
      <c r="W391" s="20">
        <f t="shared" si="91"/>
        <v>4.9002621722846449</v>
      </c>
      <c r="X391" s="20">
        <f t="shared" si="92"/>
        <v>31.74</v>
      </c>
      <c r="Y391" s="21">
        <f t="shared" si="93"/>
        <v>0.13947819926726668</v>
      </c>
      <c r="Z391" s="21">
        <f t="shared" si="94"/>
        <v>0.16089191424940955</v>
      </c>
      <c r="AA391" s="21">
        <f t="shared" si="95"/>
        <v>0.15719199999999997</v>
      </c>
      <c r="AB391" s="21">
        <f t="shared" si="96"/>
        <v>0.31534815192884269</v>
      </c>
    </row>
    <row r="392" spans="1:28" ht="16" customHeight="1" x14ac:dyDescent="0.2">
      <c r="A392" t="s">
        <v>498</v>
      </c>
      <c r="B392" t="s">
        <v>499</v>
      </c>
      <c r="C392" t="s">
        <v>826</v>
      </c>
      <c r="D392" t="s">
        <v>827</v>
      </c>
      <c r="E392" t="s">
        <v>502</v>
      </c>
      <c r="F392" t="s">
        <v>38</v>
      </c>
      <c r="G392" t="s">
        <v>503</v>
      </c>
      <c r="H392" s="15">
        <v>0.72799999999999998</v>
      </c>
      <c r="I392" s="15">
        <f t="shared" si="97"/>
        <v>6.1378686206869633</v>
      </c>
      <c r="J392" s="17">
        <v>1.1399999999999999</v>
      </c>
      <c r="K392" s="17">
        <v>400000</v>
      </c>
      <c r="L392" s="11" t="s">
        <v>35</v>
      </c>
      <c r="M392" s="11" t="s">
        <v>35</v>
      </c>
      <c r="N392" s="14">
        <v>65</v>
      </c>
      <c r="O392" s="11">
        <v>248.96</v>
      </c>
      <c r="P392" s="13">
        <v>10.055999999999999</v>
      </c>
      <c r="Q392" s="11">
        <f t="shared" si="86"/>
        <v>125.69999999999999</v>
      </c>
      <c r="R392" s="20">
        <f t="shared" si="87"/>
        <v>50.490038560411307</v>
      </c>
      <c r="S392" s="20">
        <f t="shared" si="88"/>
        <v>0.5049003856041131</v>
      </c>
      <c r="T392" s="15">
        <f t="shared" si="89"/>
        <v>0.36756748071979434</v>
      </c>
      <c r="U392" s="15">
        <f t="shared" si="90"/>
        <v>6.4346629183106003</v>
      </c>
      <c r="V392" s="21">
        <v>0.107</v>
      </c>
      <c r="W392" s="20">
        <f t="shared" si="91"/>
        <v>5.1509705648369142</v>
      </c>
      <c r="X392" s="20">
        <f t="shared" si="92"/>
        <v>31.74</v>
      </c>
      <c r="Y392" s="21">
        <f t="shared" si="93"/>
        <v>0.1396484760678659</v>
      </c>
      <c r="Z392" s="21">
        <f t="shared" si="94"/>
        <v>0.17592810141667906</v>
      </c>
      <c r="AA392" s="21">
        <f t="shared" si="95"/>
        <v>0.20971999999999999</v>
      </c>
      <c r="AB392" s="21">
        <f t="shared" si="96"/>
        <v>0.34481907877669093</v>
      </c>
    </row>
    <row r="393" spans="1:28" ht="16" customHeight="1" x14ac:dyDescent="0.2">
      <c r="A393" t="s">
        <v>498</v>
      </c>
      <c r="B393" t="s">
        <v>499</v>
      </c>
      <c r="C393" t="s">
        <v>828</v>
      </c>
      <c r="D393" t="s">
        <v>829</v>
      </c>
      <c r="E393" t="s">
        <v>502</v>
      </c>
      <c r="F393" t="s">
        <v>38</v>
      </c>
      <c r="G393" t="s">
        <v>503</v>
      </c>
      <c r="H393" s="15">
        <v>3.92</v>
      </c>
      <c r="I393" s="15">
        <f t="shared" si="97"/>
        <v>5.4067139329795424</v>
      </c>
      <c r="J393" s="17">
        <v>0.624</v>
      </c>
      <c r="K393" s="17">
        <v>289000</v>
      </c>
      <c r="L393" s="11" t="s">
        <v>35</v>
      </c>
      <c r="M393" s="11" t="s">
        <v>35</v>
      </c>
      <c r="N393" s="14">
        <v>65</v>
      </c>
      <c r="O393" s="11">
        <v>249.96</v>
      </c>
      <c r="P393" s="13">
        <v>10.589</v>
      </c>
      <c r="Q393" s="11">
        <f t="shared" si="86"/>
        <v>132.36250000000001</v>
      </c>
      <c r="R393" s="20">
        <f t="shared" si="87"/>
        <v>52.953472555608904</v>
      </c>
      <c r="S393" s="20">
        <f t="shared" si="88"/>
        <v>0.52953472555608905</v>
      </c>
      <c r="T393" s="15">
        <f t="shared" si="89"/>
        <v>2.0757761241798689</v>
      </c>
      <c r="U393" s="15">
        <f t="shared" si="90"/>
        <v>5.6828194876618392</v>
      </c>
      <c r="V393" s="21">
        <v>8.3199999999999996E-2</v>
      </c>
      <c r="W393" s="20">
        <f t="shared" si="91"/>
        <v>4.9349834734158087</v>
      </c>
      <c r="X393" s="20">
        <f t="shared" si="92"/>
        <v>31.74</v>
      </c>
      <c r="Y393" s="21">
        <f t="shared" si="93"/>
        <v>0.13950128680166163</v>
      </c>
      <c r="Z393" s="21">
        <f t="shared" si="94"/>
        <v>0.16242798102334294</v>
      </c>
      <c r="AA393" s="21">
        <f t="shared" si="95"/>
        <v>0.16307199999999999</v>
      </c>
      <c r="AB393" s="21">
        <f t="shared" si="96"/>
        <v>0.31835884280575216</v>
      </c>
    </row>
    <row r="394" spans="1:28" ht="16" customHeight="1" x14ac:dyDescent="0.2">
      <c r="A394" t="s">
        <v>498</v>
      </c>
      <c r="B394" t="s">
        <v>499</v>
      </c>
      <c r="C394" t="s">
        <v>830</v>
      </c>
      <c r="D394" t="s">
        <v>831</v>
      </c>
      <c r="E394" t="s">
        <v>502</v>
      </c>
      <c r="F394" t="s">
        <v>33</v>
      </c>
      <c r="G394" t="s">
        <v>503</v>
      </c>
      <c r="H394" s="15">
        <v>17.7</v>
      </c>
      <c r="I394" s="15">
        <f t="shared" si="97"/>
        <v>4.7520267336381936</v>
      </c>
      <c r="J394" s="17">
        <v>0.90200000000000002</v>
      </c>
      <c r="K394" s="17">
        <v>333000</v>
      </c>
      <c r="L394" s="11" t="s">
        <v>35</v>
      </c>
      <c r="M394" s="11" t="s">
        <v>35</v>
      </c>
      <c r="N394" s="14">
        <v>65</v>
      </c>
      <c r="O394" s="11">
        <v>249.93</v>
      </c>
      <c r="P394" s="13">
        <v>23.852</v>
      </c>
      <c r="Q394" s="11">
        <f t="shared" si="86"/>
        <v>298.14999999999998</v>
      </c>
      <c r="R394" s="20">
        <f t="shared" si="87"/>
        <v>119.29340215260271</v>
      </c>
      <c r="S394" s="20">
        <f t="shared" si="88"/>
        <v>1.1929340215260271</v>
      </c>
      <c r="T394" s="15">
        <f t="shared" si="89"/>
        <v>21.11493218101068</v>
      </c>
      <c r="U394" s="15">
        <f t="shared" si="90"/>
        <v>4.6754103091460175</v>
      </c>
      <c r="V394" s="21">
        <v>0.20599999999999999</v>
      </c>
      <c r="W394" s="20">
        <f t="shared" si="91"/>
        <v>2.6690726144558106</v>
      </c>
      <c r="X394" s="20">
        <f t="shared" si="92"/>
        <v>31.74</v>
      </c>
      <c r="Y394" s="21">
        <f t="shared" si="93"/>
        <v>0.13833159049588512</v>
      </c>
      <c r="Z394" s="21">
        <f t="shared" si="94"/>
        <v>0.24813631118625354</v>
      </c>
      <c r="AA394" s="21">
        <f t="shared" si="95"/>
        <v>0.40375999999999995</v>
      </c>
      <c r="AB394" s="21">
        <f t="shared" si="96"/>
        <v>0.48634716992505694</v>
      </c>
    </row>
    <row r="395" spans="1:28" ht="16" customHeight="1" x14ac:dyDescent="0.2">
      <c r="A395" t="s">
        <v>498</v>
      </c>
      <c r="B395" t="s">
        <v>499</v>
      </c>
      <c r="C395" t="s">
        <v>832</v>
      </c>
      <c r="D395" t="s">
        <v>833</v>
      </c>
      <c r="E395" t="s">
        <v>502</v>
      </c>
      <c r="F395" t="s">
        <v>33</v>
      </c>
      <c r="G395" t="s">
        <v>503</v>
      </c>
      <c r="H395" s="15">
        <v>3.03</v>
      </c>
      <c r="I395" s="15">
        <f t="shared" si="97"/>
        <v>5.5185573714976952</v>
      </c>
      <c r="J395" s="17">
        <v>0.65200000000000002</v>
      </c>
      <c r="K395" s="17">
        <v>298000</v>
      </c>
      <c r="L395" s="11" t="s">
        <v>35</v>
      </c>
      <c r="M395" s="11" t="s">
        <v>35</v>
      </c>
      <c r="N395" s="14">
        <v>65</v>
      </c>
      <c r="O395" s="11">
        <v>250.49</v>
      </c>
      <c r="P395" s="13">
        <v>2.8290000000000002</v>
      </c>
      <c r="Q395" s="11">
        <f t="shared" si="86"/>
        <v>35.362500000000004</v>
      </c>
      <c r="R395" s="20">
        <f t="shared" si="87"/>
        <v>14.117330033135056</v>
      </c>
      <c r="S395" s="20">
        <f t="shared" si="88"/>
        <v>0.14117330033135056</v>
      </c>
      <c r="T395" s="15">
        <f t="shared" si="89"/>
        <v>0.42775510000399219</v>
      </c>
      <c r="U395" s="15">
        <f t="shared" si="90"/>
        <v>6.3688048037847871</v>
      </c>
      <c r="V395" s="21">
        <v>5.8099999999999999E-2</v>
      </c>
      <c r="W395" s="20">
        <f t="shared" si="91"/>
        <v>16.112739483916577</v>
      </c>
      <c r="X395" s="20">
        <f t="shared" si="92"/>
        <v>31.74</v>
      </c>
      <c r="Y395" s="21">
        <f t="shared" si="93"/>
        <v>0.15458980189852867</v>
      </c>
      <c r="Z395" s="21">
        <f t="shared" si="94"/>
        <v>0.16514725807904393</v>
      </c>
      <c r="AA395" s="21">
        <f t="shared" si="95"/>
        <v>0.11387599999999999</v>
      </c>
      <c r="AB395" s="21">
        <f t="shared" si="96"/>
        <v>0.32368862583492608</v>
      </c>
    </row>
    <row r="396" spans="1:28" ht="16" customHeight="1" x14ac:dyDescent="0.2">
      <c r="A396" t="s">
        <v>498</v>
      </c>
      <c r="B396" t="s">
        <v>499</v>
      </c>
      <c r="C396" t="s">
        <v>834</v>
      </c>
      <c r="D396" t="s">
        <v>835</v>
      </c>
      <c r="E396" t="s">
        <v>502</v>
      </c>
      <c r="F396" t="s">
        <v>33</v>
      </c>
      <c r="G396" t="s">
        <v>503</v>
      </c>
      <c r="H396" s="15">
        <v>10.4</v>
      </c>
      <c r="I396" s="15">
        <f t="shared" si="97"/>
        <v>4.9829666607012193</v>
      </c>
      <c r="J396" s="17">
        <v>1.1399999999999999</v>
      </c>
      <c r="K396" s="17">
        <v>402000</v>
      </c>
      <c r="L396" s="11" t="s">
        <v>247</v>
      </c>
      <c r="M396" s="11" t="s">
        <v>247</v>
      </c>
      <c r="N396" s="14">
        <v>20</v>
      </c>
      <c r="O396" s="11">
        <v>501.58</v>
      </c>
      <c r="P396" s="13">
        <v>6.97</v>
      </c>
      <c r="Q396" s="11">
        <f t="shared" si="86"/>
        <v>87.125</v>
      </c>
      <c r="R396" s="20">
        <f t="shared" si="87"/>
        <v>17.37011045097492</v>
      </c>
      <c r="S396" s="20">
        <f t="shared" si="88"/>
        <v>0.17370110450974921</v>
      </c>
      <c r="T396" s="15">
        <f t="shared" si="89"/>
        <v>1.8064914869013919</v>
      </c>
      <c r="U396" s="15">
        <f t="shared" si="90"/>
        <v>5.7431640807056796</v>
      </c>
      <c r="V396" s="21">
        <v>0.112</v>
      </c>
      <c r="W396" s="20">
        <f t="shared" si="91"/>
        <v>7.0508177905308465</v>
      </c>
      <c r="X396" s="20">
        <f t="shared" si="92"/>
        <v>31.74</v>
      </c>
      <c r="Y396" s="21">
        <f t="shared" si="93"/>
        <v>0.14120526799723887</v>
      </c>
      <c r="Z396" s="21">
        <f t="shared" si="94"/>
        <v>0.18023020754072291</v>
      </c>
      <c r="AA396" s="21">
        <f t="shared" si="95"/>
        <v>0.21951999999999999</v>
      </c>
      <c r="AB396" s="21">
        <f t="shared" si="96"/>
        <v>0.35325120677981692</v>
      </c>
    </row>
    <row r="397" spans="1:28" ht="16" customHeight="1" x14ac:dyDescent="0.2">
      <c r="A397" t="s">
        <v>498</v>
      </c>
      <c r="B397" t="s">
        <v>499</v>
      </c>
      <c r="C397" t="s">
        <v>836</v>
      </c>
      <c r="D397" t="s">
        <v>837</v>
      </c>
      <c r="E397" t="s">
        <v>502</v>
      </c>
      <c r="F397" t="s">
        <v>33</v>
      </c>
      <c r="G397" t="s">
        <v>503</v>
      </c>
      <c r="H397" s="15">
        <v>3.12</v>
      </c>
      <c r="I397" s="15">
        <f t="shared" si="97"/>
        <v>5.5058454059815576</v>
      </c>
      <c r="J397" s="17">
        <v>0.82099999999999995</v>
      </c>
      <c r="K397" s="17">
        <v>354000</v>
      </c>
      <c r="L397" s="11" t="s">
        <v>247</v>
      </c>
      <c r="M397" s="11" t="s">
        <v>247</v>
      </c>
      <c r="N397" s="14">
        <v>20</v>
      </c>
      <c r="O397" s="11">
        <v>501.14</v>
      </c>
      <c r="P397" s="13">
        <v>19.91</v>
      </c>
      <c r="Q397" s="11">
        <f t="shared" si="86"/>
        <v>248.875</v>
      </c>
      <c r="R397" s="20">
        <f t="shared" si="87"/>
        <v>49.661771161751204</v>
      </c>
      <c r="S397" s="20">
        <f t="shared" si="88"/>
        <v>0.49661771161751206</v>
      </c>
      <c r="T397" s="15">
        <f t="shared" si="89"/>
        <v>1.5494472602466376</v>
      </c>
      <c r="U397" s="15">
        <f t="shared" si="90"/>
        <v>5.8098232015955071</v>
      </c>
      <c r="V397" s="21">
        <v>6.08E-2</v>
      </c>
      <c r="W397" s="20">
        <f t="shared" si="91"/>
        <v>3.0272526368658963</v>
      </c>
      <c r="X397" s="20">
        <f t="shared" si="92"/>
        <v>31.74</v>
      </c>
      <c r="Y397" s="21">
        <f t="shared" si="93"/>
        <v>0.13847061623501411</v>
      </c>
      <c r="Z397" s="21">
        <f t="shared" si="94"/>
        <v>0.15123078906262624</v>
      </c>
      <c r="AA397" s="21">
        <f t="shared" si="95"/>
        <v>0.119168</v>
      </c>
      <c r="AB397" s="21">
        <f t="shared" si="96"/>
        <v>0.29641234656274745</v>
      </c>
    </row>
    <row r="398" spans="1:28" ht="16" customHeight="1" x14ac:dyDescent="0.2">
      <c r="A398" t="s">
        <v>498</v>
      </c>
      <c r="B398" t="s">
        <v>499</v>
      </c>
      <c r="C398" t="s">
        <v>838</v>
      </c>
      <c r="D398" t="s">
        <v>839</v>
      </c>
      <c r="E398" t="s">
        <v>502</v>
      </c>
      <c r="F398" t="s">
        <v>33</v>
      </c>
      <c r="G398" t="s">
        <v>503</v>
      </c>
      <c r="H398" s="15">
        <v>4.78</v>
      </c>
      <c r="I398" s="15">
        <f t="shared" si="97"/>
        <v>5.3205721033878808</v>
      </c>
      <c r="J398" s="17">
        <v>1.76</v>
      </c>
      <c r="K398" s="17">
        <v>580000</v>
      </c>
      <c r="L398" s="11" t="s">
        <v>247</v>
      </c>
      <c r="M398" s="11" t="s">
        <v>247</v>
      </c>
      <c r="N398" s="14">
        <v>20</v>
      </c>
      <c r="O398" s="11">
        <v>500.66</v>
      </c>
      <c r="P398" s="13">
        <v>28.15</v>
      </c>
      <c r="Q398" s="11">
        <f t="shared" si="86"/>
        <v>351.875</v>
      </c>
      <c r="R398" s="20">
        <f t="shared" si="87"/>
        <v>70.282227459753116</v>
      </c>
      <c r="S398" s="20">
        <f t="shared" si="88"/>
        <v>0.70282227459753122</v>
      </c>
      <c r="T398" s="15">
        <f t="shared" si="89"/>
        <v>3.3594904725761996</v>
      </c>
      <c r="U398" s="15">
        <f t="shared" si="90"/>
        <v>5.473726586219863</v>
      </c>
      <c r="V398" s="21">
        <v>9.8599999999999993E-2</v>
      </c>
      <c r="W398" s="20">
        <f t="shared" si="91"/>
        <v>2.3928596802841917</v>
      </c>
      <c r="X398" s="20">
        <f t="shared" si="92"/>
        <v>31.74</v>
      </c>
      <c r="Y398" s="21">
        <f t="shared" si="93"/>
        <v>0.13823623904526772</v>
      </c>
      <c r="Z398" s="21">
        <f t="shared" si="94"/>
        <v>0.16979757885606142</v>
      </c>
      <c r="AA398" s="21">
        <f t="shared" si="95"/>
        <v>0.19325599999999998</v>
      </c>
      <c r="AB398" s="21">
        <f t="shared" si="96"/>
        <v>0.3328032545578804</v>
      </c>
    </row>
    <row r="399" spans="1:28" ht="16" customHeight="1" x14ac:dyDescent="0.2">
      <c r="A399" t="s">
        <v>498</v>
      </c>
      <c r="B399" t="s">
        <v>499</v>
      </c>
      <c r="C399" t="s">
        <v>840</v>
      </c>
      <c r="D399" t="s">
        <v>841</v>
      </c>
      <c r="E399" t="s">
        <v>502</v>
      </c>
      <c r="F399" t="s">
        <v>33</v>
      </c>
      <c r="G399" t="s">
        <v>503</v>
      </c>
      <c r="H399" s="15">
        <v>3.37</v>
      </c>
      <c r="I399" s="15">
        <f t="shared" si="97"/>
        <v>5.4723700991286615</v>
      </c>
      <c r="J399" s="17">
        <v>0.82699999999999996</v>
      </c>
      <c r="K399" s="17">
        <v>326000</v>
      </c>
      <c r="L399" s="11" t="s">
        <v>247</v>
      </c>
      <c r="M399" s="11" t="s">
        <v>247</v>
      </c>
      <c r="N399" s="14">
        <v>20</v>
      </c>
      <c r="O399" s="11">
        <v>501.68</v>
      </c>
      <c r="P399" s="13">
        <v>38.270000000000003</v>
      </c>
      <c r="Q399" s="11">
        <f t="shared" si="86"/>
        <v>478.37500000000006</v>
      </c>
      <c r="R399" s="20">
        <f t="shared" si="87"/>
        <v>95.354608515388307</v>
      </c>
      <c r="S399" s="20">
        <f t="shared" si="88"/>
        <v>0.95354608515388306</v>
      </c>
      <c r="T399" s="15">
        <f t="shared" si="89"/>
        <v>3.213450306968586</v>
      </c>
      <c r="U399" s="15">
        <f t="shared" si="90"/>
        <v>5.4930284116633992</v>
      </c>
      <c r="V399" s="21">
        <v>6.6400000000000001E-2</v>
      </c>
      <c r="W399" s="20">
        <f t="shared" si="91"/>
        <v>1.9875150248236215</v>
      </c>
      <c r="X399" s="20">
        <f t="shared" si="92"/>
        <v>31.74</v>
      </c>
      <c r="Y399" s="21">
        <f t="shared" si="93"/>
        <v>0.13811505572917707</v>
      </c>
      <c r="Z399" s="21">
        <f t="shared" si="94"/>
        <v>0.15324727932029883</v>
      </c>
      <c r="AA399" s="21">
        <f t="shared" si="95"/>
        <v>0.13014400000000001</v>
      </c>
      <c r="AB399" s="21">
        <f t="shared" si="96"/>
        <v>0.30036466746778567</v>
      </c>
    </row>
    <row r="400" spans="1:28" ht="16" customHeight="1" x14ac:dyDescent="0.2">
      <c r="A400" t="s">
        <v>498</v>
      </c>
      <c r="B400" t="s">
        <v>499</v>
      </c>
      <c r="C400" t="s">
        <v>842</v>
      </c>
      <c r="D400" t="s">
        <v>843</v>
      </c>
      <c r="E400" t="s">
        <v>502</v>
      </c>
      <c r="F400" t="s">
        <v>38</v>
      </c>
      <c r="G400" t="s">
        <v>503</v>
      </c>
      <c r="H400" s="15">
        <v>290</v>
      </c>
      <c r="I400" s="15">
        <f t="shared" si="97"/>
        <v>3.5376020021010439</v>
      </c>
      <c r="J400" s="17">
        <v>1</v>
      </c>
      <c r="K400" s="17">
        <v>379000</v>
      </c>
      <c r="L400" s="11" t="s">
        <v>35</v>
      </c>
      <c r="M400" s="11" t="s">
        <v>81</v>
      </c>
      <c r="N400" s="14">
        <v>65</v>
      </c>
      <c r="O400" s="11">
        <v>250.73</v>
      </c>
      <c r="P400" s="23" t="s">
        <v>82</v>
      </c>
      <c r="Q400" s="11" t="str">
        <f t="shared" si="86"/>
        <v>-</v>
      </c>
      <c r="R400" s="24" t="str">
        <f t="shared" si="87"/>
        <v>-</v>
      </c>
      <c r="S400" s="20" t="str">
        <f t="shared" si="88"/>
        <v>-</v>
      </c>
      <c r="T400" s="15" t="str">
        <f t="shared" si="89"/>
        <v>-</v>
      </c>
      <c r="U400" s="15" t="str">
        <f t="shared" si="90"/>
        <v>-</v>
      </c>
      <c r="V400" s="21">
        <v>0.39200000000000002</v>
      </c>
      <c r="W400" s="20" t="str">
        <f t="shared" si="91"/>
        <v>-</v>
      </c>
      <c r="X400" s="20" t="str">
        <f t="shared" si="92"/>
        <v>-</v>
      </c>
      <c r="Y400" s="21" t="str">
        <f t="shared" si="93"/>
        <v>-</v>
      </c>
      <c r="Z400" s="21" t="str">
        <f t="shared" si="94"/>
        <v>-</v>
      </c>
      <c r="AA400" s="21">
        <f t="shared" si="95"/>
        <v>0.76832</v>
      </c>
      <c r="AB400" s="21" t="str">
        <f t="shared" si="96"/>
        <v>-</v>
      </c>
    </row>
    <row r="401" spans="1:28" ht="16" customHeight="1" x14ac:dyDescent="0.2">
      <c r="A401" t="s">
        <v>498</v>
      </c>
      <c r="B401" t="s">
        <v>499</v>
      </c>
      <c r="C401" t="s">
        <v>844</v>
      </c>
      <c r="D401" t="s">
        <v>845</v>
      </c>
      <c r="E401" t="s">
        <v>502</v>
      </c>
      <c r="F401" t="s">
        <v>38</v>
      </c>
      <c r="G401" t="s">
        <v>503</v>
      </c>
      <c r="H401" s="15">
        <v>1880</v>
      </c>
      <c r="I401" s="15">
        <f t="shared" si="97"/>
        <v>2.72584215073632</v>
      </c>
      <c r="J401" s="17">
        <v>1.4</v>
      </c>
      <c r="K401" s="17">
        <v>496000</v>
      </c>
      <c r="L401" s="11" t="s">
        <v>35</v>
      </c>
      <c r="M401" s="11" t="s">
        <v>81</v>
      </c>
      <c r="N401" s="14">
        <v>65</v>
      </c>
      <c r="O401" s="11">
        <v>249.3</v>
      </c>
      <c r="P401" s="23" t="s">
        <v>82</v>
      </c>
      <c r="Q401" s="11" t="str">
        <f t="shared" si="86"/>
        <v>-</v>
      </c>
      <c r="R401" s="24" t="str">
        <f t="shared" si="87"/>
        <v>-</v>
      </c>
      <c r="S401" s="20" t="str">
        <f t="shared" si="88"/>
        <v>-</v>
      </c>
      <c r="T401" s="15" t="str">
        <f t="shared" si="89"/>
        <v>-</v>
      </c>
      <c r="U401" s="15" t="str">
        <f t="shared" si="90"/>
        <v>-</v>
      </c>
      <c r="V401" s="21">
        <v>0.47899999999999998</v>
      </c>
      <c r="W401" s="20" t="str">
        <f t="shared" si="91"/>
        <v>-</v>
      </c>
      <c r="X401" s="20" t="str">
        <f t="shared" si="92"/>
        <v>-</v>
      </c>
      <c r="Y401" s="21" t="str">
        <f t="shared" si="93"/>
        <v>-</v>
      </c>
      <c r="Z401" s="21" t="str">
        <f t="shared" si="94"/>
        <v>-</v>
      </c>
      <c r="AA401" s="21">
        <f t="shared" si="95"/>
        <v>0.9388399999999999</v>
      </c>
      <c r="AB401" s="21" t="str">
        <f t="shared" si="96"/>
        <v>-</v>
      </c>
    </row>
    <row r="402" spans="1:28" ht="16" customHeight="1" x14ac:dyDescent="0.2">
      <c r="A402" t="s">
        <v>498</v>
      </c>
      <c r="B402" t="s">
        <v>499</v>
      </c>
      <c r="C402" t="s">
        <v>846</v>
      </c>
      <c r="D402" t="s">
        <v>847</v>
      </c>
      <c r="E402" t="s">
        <v>502</v>
      </c>
      <c r="F402" t="s">
        <v>38</v>
      </c>
      <c r="G402" t="s">
        <v>503</v>
      </c>
      <c r="H402" s="15">
        <v>4.78</v>
      </c>
      <c r="I402" s="15">
        <f t="shared" si="97"/>
        <v>5.3205721033878808</v>
      </c>
      <c r="J402" s="17">
        <v>0.64200000000000002</v>
      </c>
      <c r="K402" s="17">
        <v>296000</v>
      </c>
      <c r="L402" s="11" t="s">
        <v>35</v>
      </c>
      <c r="M402" s="11" t="s">
        <v>35</v>
      </c>
      <c r="N402" s="14">
        <v>65</v>
      </c>
      <c r="O402" s="11">
        <v>250</v>
      </c>
      <c r="P402" s="13">
        <v>10.364000000000001</v>
      </c>
      <c r="Q402" s="11">
        <f t="shared" si="86"/>
        <v>129.55000000000001</v>
      </c>
      <c r="R402" s="20">
        <f t="shared" si="87"/>
        <v>51.82</v>
      </c>
      <c r="S402" s="20">
        <f t="shared" si="88"/>
        <v>0.51819999999999999</v>
      </c>
      <c r="T402" s="15">
        <f t="shared" si="89"/>
        <v>2.4769960000000002</v>
      </c>
      <c r="U402" s="15">
        <f t="shared" si="90"/>
        <v>5.6060746947380755</v>
      </c>
      <c r="V402" s="21">
        <v>0.19700000000000001</v>
      </c>
      <c r="W402" s="20">
        <f t="shared" si="91"/>
        <v>5.0234504052489388</v>
      </c>
      <c r="X402" s="20">
        <f t="shared" si="92"/>
        <v>31.74</v>
      </c>
      <c r="Y402" s="21">
        <f t="shared" si="93"/>
        <v>0.13956083104028591</v>
      </c>
      <c r="Z402" s="21">
        <f t="shared" si="94"/>
        <v>0.24142540371853008</v>
      </c>
      <c r="AA402" s="21">
        <f t="shared" si="95"/>
        <v>0.38612000000000002</v>
      </c>
      <c r="AB402" s="21">
        <f t="shared" si="96"/>
        <v>0.47319379128831895</v>
      </c>
    </row>
    <row r="403" spans="1:28" ht="16" customHeight="1" x14ac:dyDescent="0.2">
      <c r="A403" t="s">
        <v>498</v>
      </c>
      <c r="B403" t="s">
        <v>499</v>
      </c>
      <c r="C403" t="s">
        <v>848</v>
      </c>
      <c r="D403" t="s">
        <v>849</v>
      </c>
      <c r="E403" t="s">
        <v>502</v>
      </c>
      <c r="F403" t="s">
        <v>38</v>
      </c>
      <c r="G403" t="s">
        <v>503</v>
      </c>
      <c r="H403" s="15">
        <v>313</v>
      </c>
      <c r="I403" s="15">
        <f t="shared" si="97"/>
        <v>3.5044556624535517</v>
      </c>
      <c r="J403" s="17">
        <v>1.26</v>
      </c>
      <c r="K403" s="17">
        <v>437000</v>
      </c>
      <c r="L403" s="11" t="s">
        <v>35</v>
      </c>
      <c r="M403" s="11" t="s">
        <v>81</v>
      </c>
      <c r="N403" s="14">
        <v>65</v>
      </c>
      <c r="O403" s="11">
        <v>250.52</v>
      </c>
      <c r="P403" s="23" t="s">
        <v>82</v>
      </c>
      <c r="Q403" s="11" t="str">
        <f t="shared" si="86"/>
        <v>-</v>
      </c>
      <c r="R403" s="24" t="str">
        <f t="shared" si="87"/>
        <v>-</v>
      </c>
      <c r="S403" s="20" t="str">
        <f t="shared" si="88"/>
        <v>-</v>
      </c>
      <c r="T403" s="15" t="str">
        <f t="shared" si="89"/>
        <v>-</v>
      </c>
      <c r="U403" s="15" t="str">
        <f t="shared" si="90"/>
        <v>-</v>
      </c>
      <c r="V403" s="21">
        <v>0.251</v>
      </c>
      <c r="W403" s="20" t="str">
        <f t="shared" si="91"/>
        <v>-</v>
      </c>
      <c r="X403" s="20" t="str">
        <f t="shared" si="92"/>
        <v>-</v>
      </c>
      <c r="Y403" s="21" t="str">
        <f t="shared" si="93"/>
        <v>-</v>
      </c>
      <c r="Z403" s="21" t="str">
        <f t="shared" si="94"/>
        <v>-</v>
      </c>
      <c r="AA403" s="21">
        <f t="shared" si="95"/>
        <v>0.49196000000000001</v>
      </c>
      <c r="AB403" s="21" t="str">
        <f t="shared" si="96"/>
        <v>-</v>
      </c>
    </row>
    <row r="404" spans="1:28" ht="16" customHeight="1" x14ac:dyDescent="0.2">
      <c r="A404" t="s">
        <v>498</v>
      </c>
      <c r="B404" t="s">
        <v>499</v>
      </c>
      <c r="C404" t="s">
        <v>850</v>
      </c>
      <c r="D404" t="s">
        <v>851</v>
      </c>
      <c r="E404" t="s">
        <v>502</v>
      </c>
      <c r="F404" t="s">
        <v>33</v>
      </c>
      <c r="G404" t="s">
        <v>503</v>
      </c>
      <c r="H404" s="15">
        <v>2.0699999999999998</v>
      </c>
      <c r="I404" s="15">
        <f t="shared" si="97"/>
        <v>5.6840296545430826</v>
      </c>
      <c r="J404" s="17">
        <v>0.94299999999999995</v>
      </c>
      <c r="K404" s="17">
        <v>360000</v>
      </c>
      <c r="L404" s="11" t="s">
        <v>35</v>
      </c>
      <c r="M404" s="11" t="s">
        <v>35</v>
      </c>
      <c r="N404" s="14">
        <v>65</v>
      </c>
      <c r="O404" s="11">
        <v>249.87</v>
      </c>
      <c r="P404" s="13">
        <v>15.746</v>
      </c>
      <c r="Q404" s="11">
        <f t="shared" si="86"/>
        <v>196.82500000000002</v>
      </c>
      <c r="R404" s="20">
        <f t="shared" si="87"/>
        <v>78.770960899667827</v>
      </c>
      <c r="S404" s="20">
        <f t="shared" si="88"/>
        <v>0.7877096089966783</v>
      </c>
      <c r="T404" s="15">
        <f t="shared" si="89"/>
        <v>1.6305588906231239</v>
      </c>
      <c r="U404" s="15">
        <f t="shared" si="90"/>
        <v>5.7876635112334958</v>
      </c>
      <c r="V404" s="21">
        <v>5.5599999999999997E-2</v>
      </c>
      <c r="W404" s="20">
        <f t="shared" si="91"/>
        <v>3.6003785088276383</v>
      </c>
      <c r="X404" s="20">
        <f t="shared" si="92"/>
        <v>31.74</v>
      </c>
      <c r="Y404" s="21">
        <f t="shared" si="93"/>
        <v>0.13872907081402033</v>
      </c>
      <c r="Z404" s="21">
        <f t="shared" si="94"/>
        <v>0.14945606407543813</v>
      </c>
      <c r="AA404" s="21">
        <f t="shared" si="95"/>
        <v>0.10897599999999999</v>
      </c>
      <c r="AB404" s="21">
        <f t="shared" si="96"/>
        <v>0.29293388558785871</v>
      </c>
    </row>
    <row r="405" spans="1:28" ht="16" customHeight="1" x14ac:dyDescent="0.2">
      <c r="A405" t="s">
        <v>498</v>
      </c>
      <c r="B405" t="s">
        <v>499</v>
      </c>
      <c r="C405" t="s">
        <v>852</v>
      </c>
      <c r="D405" t="s">
        <v>853</v>
      </c>
      <c r="E405" t="s">
        <v>502</v>
      </c>
      <c r="F405" t="s">
        <v>38</v>
      </c>
      <c r="G405" t="s">
        <v>503</v>
      </c>
      <c r="H405" s="15">
        <v>2.4300000000000002</v>
      </c>
      <c r="I405" s="15">
        <f t="shared" si="97"/>
        <v>5.6143937264016879</v>
      </c>
      <c r="J405" s="17">
        <v>0.70399999999999996</v>
      </c>
      <c r="K405" s="17">
        <v>315000</v>
      </c>
      <c r="L405" s="11" t="s">
        <v>35</v>
      </c>
      <c r="M405" s="11" t="s">
        <v>81</v>
      </c>
      <c r="N405" s="14">
        <v>65</v>
      </c>
      <c r="O405" s="11">
        <v>250.4</v>
      </c>
      <c r="P405" s="23" t="s">
        <v>82</v>
      </c>
      <c r="Q405" s="11" t="str">
        <f t="shared" si="86"/>
        <v>-</v>
      </c>
      <c r="R405" s="24" t="str">
        <f t="shared" si="87"/>
        <v>-</v>
      </c>
      <c r="S405" s="20" t="str">
        <f t="shared" si="88"/>
        <v>-</v>
      </c>
      <c r="T405" s="15" t="str">
        <f t="shared" si="89"/>
        <v>-</v>
      </c>
      <c r="U405" s="15" t="str">
        <f t="shared" si="90"/>
        <v>-</v>
      </c>
      <c r="V405" s="21">
        <v>0.218</v>
      </c>
      <c r="W405" s="20" t="str">
        <f t="shared" si="91"/>
        <v>-</v>
      </c>
      <c r="X405" s="20" t="str">
        <f t="shared" si="92"/>
        <v>-</v>
      </c>
      <c r="Y405" s="21" t="str">
        <f t="shared" si="93"/>
        <v>-</v>
      </c>
      <c r="Z405" s="21" t="str">
        <f t="shared" si="94"/>
        <v>-</v>
      </c>
      <c r="AA405" s="21">
        <f t="shared" si="95"/>
        <v>0.42727999999999999</v>
      </c>
      <c r="AB405" s="21" t="str">
        <f t="shared" si="96"/>
        <v>-</v>
      </c>
    </row>
    <row r="406" spans="1:28" ht="16" customHeight="1" x14ac:dyDescent="0.2">
      <c r="A406" t="s">
        <v>498</v>
      </c>
      <c r="B406" t="s">
        <v>499</v>
      </c>
      <c r="C406" t="s">
        <v>854</v>
      </c>
      <c r="D406" t="s">
        <v>855</v>
      </c>
      <c r="E406" t="s">
        <v>502</v>
      </c>
      <c r="F406" t="s">
        <v>38</v>
      </c>
      <c r="G406" t="s">
        <v>503</v>
      </c>
      <c r="H406" s="16" t="s">
        <v>67</v>
      </c>
      <c r="I406" s="16" t="s">
        <v>67</v>
      </c>
      <c r="J406" s="18" t="s">
        <v>67</v>
      </c>
      <c r="K406" s="18" t="s">
        <v>67</v>
      </c>
      <c r="L406" s="11" t="s">
        <v>247</v>
      </c>
      <c r="M406" s="11" t="s">
        <v>247</v>
      </c>
      <c r="N406" s="14">
        <v>20</v>
      </c>
      <c r="O406" s="11">
        <v>500.76</v>
      </c>
      <c r="P406" s="13">
        <v>17.78</v>
      </c>
      <c r="Q406" s="11">
        <f t="shared" si="86"/>
        <v>222.25</v>
      </c>
      <c r="R406" s="20">
        <f t="shared" si="87"/>
        <v>44.382538541417048</v>
      </c>
      <c r="S406" s="20">
        <f t="shared" si="88"/>
        <v>0.44382538541417049</v>
      </c>
      <c r="T406" s="15" t="str">
        <f t="shared" si="89"/>
        <v>no data</v>
      </c>
      <c r="U406" s="15" t="str">
        <f t="shared" si="90"/>
        <v>no data</v>
      </c>
      <c r="V406" s="22" t="s">
        <v>68</v>
      </c>
      <c r="W406" s="20">
        <f t="shared" si="91"/>
        <v>3.2868841394825643</v>
      </c>
      <c r="X406" s="20">
        <f t="shared" si="92"/>
        <v>31.74</v>
      </c>
      <c r="Y406" s="21">
        <f t="shared" si="93"/>
        <v>0.13858221962711723</v>
      </c>
      <c r="Z406" s="21" t="str">
        <f t="shared" si="94"/>
        <v>-</v>
      </c>
      <c r="AA406" s="21" t="str">
        <f t="shared" si="95"/>
        <v>-</v>
      </c>
      <c r="AB406" s="21" t="str">
        <f t="shared" si="96"/>
        <v>-</v>
      </c>
    </row>
    <row r="407" spans="1:28" ht="16" customHeight="1" x14ac:dyDescent="0.2">
      <c r="A407" t="s">
        <v>498</v>
      </c>
      <c r="B407" t="s">
        <v>499</v>
      </c>
      <c r="C407" t="s">
        <v>856</v>
      </c>
      <c r="D407" t="s">
        <v>857</v>
      </c>
      <c r="E407" t="s">
        <v>502</v>
      </c>
      <c r="F407" t="s">
        <v>38</v>
      </c>
      <c r="G407" t="s">
        <v>503</v>
      </c>
      <c r="H407" s="15">
        <v>195</v>
      </c>
      <c r="I407" s="15">
        <f t="shared" ref="I407:I421" si="98">IF(H407=0, 0, -LOG10(H407*10^-6))</f>
        <v>3.7099653886374822</v>
      </c>
      <c r="J407" s="17">
        <v>1.1599999999999999</v>
      </c>
      <c r="K407" s="17">
        <v>465000</v>
      </c>
      <c r="L407" s="11" t="s">
        <v>35</v>
      </c>
      <c r="M407" s="11" t="s">
        <v>35</v>
      </c>
      <c r="N407" s="14">
        <v>65</v>
      </c>
      <c r="O407" s="11">
        <v>250.57</v>
      </c>
      <c r="P407" s="13">
        <v>15.717000000000001</v>
      </c>
      <c r="Q407" s="11">
        <f t="shared" si="86"/>
        <v>196.46250000000001</v>
      </c>
      <c r="R407" s="20">
        <f t="shared" si="87"/>
        <v>78.406233786965714</v>
      </c>
      <c r="S407" s="20">
        <f t="shared" si="88"/>
        <v>0.78406233786965718</v>
      </c>
      <c r="T407" s="15">
        <f t="shared" si="89"/>
        <v>152.89215588458316</v>
      </c>
      <c r="U407" s="15">
        <f t="shared" si="90"/>
        <v>3.8156147954472517</v>
      </c>
      <c r="V407" s="21">
        <v>0.23799999999999999</v>
      </c>
      <c r="W407" s="20">
        <f t="shared" si="91"/>
        <v>3.6054348794299163</v>
      </c>
      <c r="X407" s="20">
        <f t="shared" si="92"/>
        <v>31.74</v>
      </c>
      <c r="Y407" s="21">
        <f t="shared" si="93"/>
        <v>0.13873154760399553</v>
      </c>
      <c r="Z407" s="21">
        <f t="shared" si="94"/>
        <v>0.27548219960752396</v>
      </c>
      <c r="AA407" s="21">
        <f t="shared" si="95"/>
        <v>0.46647999999999995</v>
      </c>
      <c r="AB407" s="21">
        <f t="shared" si="96"/>
        <v>0.53994511123074695</v>
      </c>
    </row>
    <row r="408" spans="1:28" ht="16" customHeight="1" x14ac:dyDescent="0.2">
      <c r="A408" t="s">
        <v>498</v>
      </c>
      <c r="B408" t="s">
        <v>499</v>
      </c>
      <c r="C408" t="s">
        <v>858</v>
      </c>
      <c r="D408" t="s">
        <v>859</v>
      </c>
      <c r="E408" t="s">
        <v>502</v>
      </c>
      <c r="F408" t="s">
        <v>38</v>
      </c>
      <c r="G408" t="s">
        <v>503</v>
      </c>
      <c r="H408" s="15">
        <v>6.12</v>
      </c>
      <c r="I408" s="15">
        <f t="shared" si="98"/>
        <v>5.2132485778544391</v>
      </c>
      <c r="J408" s="17">
        <v>1.05</v>
      </c>
      <c r="K408" s="17">
        <v>430000</v>
      </c>
      <c r="L408" s="11" t="s">
        <v>35</v>
      </c>
      <c r="M408" s="11" t="s">
        <v>35</v>
      </c>
      <c r="N408" s="14">
        <v>65</v>
      </c>
      <c r="O408" s="11">
        <v>249.94</v>
      </c>
      <c r="P408" s="13">
        <v>25.423999999999999</v>
      </c>
      <c r="Q408" s="11">
        <f t="shared" si="86"/>
        <v>317.8</v>
      </c>
      <c r="R408" s="20">
        <f t="shared" si="87"/>
        <v>127.15051612386974</v>
      </c>
      <c r="S408" s="20">
        <f t="shared" si="88"/>
        <v>1.2715051612386974</v>
      </c>
      <c r="T408" s="15">
        <f t="shared" si="89"/>
        <v>7.7816115867808282</v>
      </c>
      <c r="U408" s="15">
        <f t="shared" si="90"/>
        <v>5.1089304504697761</v>
      </c>
      <c r="V408" s="21">
        <v>0.16600000000000001</v>
      </c>
      <c r="W408" s="20">
        <f t="shared" si="91"/>
        <v>2.5572152297042163</v>
      </c>
      <c r="X408" s="20">
        <f t="shared" si="92"/>
        <v>31.74</v>
      </c>
      <c r="Y408" s="21">
        <f t="shared" si="93"/>
        <v>0.13829173044779633</v>
      </c>
      <c r="Z408" s="21">
        <f t="shared" si="94"/>
        <v>0.21605694321230678</v>
      </c>
      <c r="AA408" s="21">
        <f t="shared" si="95"/>
        <v>0.32536000000000004</v>
      </c>
      <c r="AB408" s="21">
        <f t="shared" si="96"/>
        <v>0.42347160869612127</v>
      </c>
    </row>
    <row r="409" spans="1:28" ht="16" customHeight="1" x14ac:dyDescent="0.2">
      <c r="A409" t="s">
        <v>498</v>
      </c>
      <c r="B409" t="s">
        <v>499</v>
      </c>
      <c r="C409" t="s">
        <v>860</v>
      </c>
      <c r="D409" t="s">
        <v>861</v>
      </c>
      <c r="E409" t="s">
        <v>502</v>
      </c>
      <c r="F409" t="s">
        <v>38</v>
      </c>
      <c r="G409" t="s">
        <v>503</v>
      </c>
      <c r="H409" s="15">
        <v>752</v>
      </c>
      <c r="I409" s="15">
        <f t="shared" si="98"/>
        <v>3.1237821594083579</v>
      </c>
      <c r="J409" s="17">
        <v>1.29</v>
      </c>
      <c r="K409" s="17">
        <v>464000</v>
      </c>
      <c r="L409" s="11" t="s">
        <v>35</v>
      </c>
      <c r="M409" s="11" t="s">
        <v>81</v>
      </c>
      <c r="N409" s="14">
        <v>65</v>
      </c>
      <c r="O409" s="11">
        <v>250.44</v>
      </c>
      <c r="P409" s="23" t="s">
        <v>82</v>
      </c>
      <c r="Q409" s="11" t="str">
        <f t="shared" si="86"/>
        <v>-</v>
      </c>
      <c r="R409" s="24" t="str">
        <f t="shared" si="87"/>
        <v>-</v>
      </c>
      <c r="S409" s="20" t="str">
        <f t="shared" si="88"/>
        <v>-</v>
      </c>
      <c r="T409" s="15" t="str">
        <f t="shared" si="89"/>
        <v>-</v>
      </c>
      <c r="U409" s="15" t="str">
        <f t="shared" si="90"/>
        <v>-</v>
      </c>
      <c r="V409" s="21">
        <v>0.311</v>
      </c>
      <c r="W409" s="20" t="str">
        <f t="shared" si="91"/>
        <v>-</v>
      </c>
      <c r="X409" s="20" t="str">
        <f t="shared" si="92"/>
        <v>-</v>
      </c>
      <c r="Y409" s="21" t="str">
        <f t="shared" si="93"/>
        <v>-</v>
      </c>
      <c r="Z409" s="21" t="str">
        <f t="shared" si="94"/>
        <v>-</v>
      </c>
      <c r="AA409" s="21">
        <f t="shared" si="95"/>
        <v>0.60955999999999999</v>
      </c>
      <c r="AB409" s="21" t="str">
        <f t="shared" si="96"/>
        <v>-</v>
      </c>
    </row>
    <row r="410" spans="1:28" ht="16" customHeight="1" x14ac:dyDescent="0.2">
      <c r="A410" t="s">
        <v>498</v>
      </c>
      <c r="B410" t="s">
        <v>499</v>
      </c>
      <c r="C410" t="s">
        <v>862</v>
      </c>
      <c r="D410" t="s">
        <v>863</v>
      </c>
      <c r="E410" t="s">
        <v>502</v>
      </c>
      <c r="F410" t="s">
        <v>38</v>
      </c>
      <c r="G410" t="s">
        <v>503</v>
      </c>
      <c r="H410" s="15">
        <v>149</v>
      </c>
      <c r="I410" s="15">
        <f t="shared" si="98"/>
        <v>3.826813731587726</v>
      </c>
      <c r="J410" s="17">
        <v>1.21</v>
      </c>
      <c r="K410" s="17">
        <v>440000</v>
      </c>
      <c r="L410" s="11" t="s">
        <v>247</v>
      </c>
      <c r="M410" s="11" t="s">
        <v>247</v>
      </c>
      <c r="N410" s="14">
        <v>20</v>
      </c>
      <c r="O410" s="11">
        <v>500.28</v>
      </c>
      <c r="P410" s="13">
        <v>31.59</v>
      </c>
      <c r="Q410" s="11">
        <f t="shared" si="86"/>
        <v>394.875</v>
      </c>
      <c r="R410" s="20">
        <f t="shared" si="87"/>
        <v>78.930798752698493</v>
      </c>
      <c r="S410" s="20">
        <f t="shared" si="88"/>
        <v>0.78930798752698494</v>
      </c>
      <c r="T410" s="15">
        <f t="shared" si="89"/>
        <v>117.60689014152075</v>
      </c>
      <c r="U410" s="15">
        <f t="shared" si="90"/>
        <v>3.9295672338484429</v>
      </c>
      <c r="V410" s="21">
        <v>0.20799999999999999</v>
      </c>
      <c r="W410" s="20">
        <f t="shared" si="91"/>
        <v>2.2259385881608105</v>
      </c>
      <c r="X410" s="20">
        <f t="shared" si="92"/>
        <v>31.74</v>
      </c>
      <c r="Y410" s="21">
        <f t="shared" si="93"/>
        <v>0.13818363252525726</v>
      </c>
      <c r="Z410" s="21">
        <f t="shared" si="94"/>
        <v>0.2497172727263281</v>
      </c>
      <c r="AA410" s="21">
        <f t="shared" si="95"/>
        <v>0.40767999999999999</v>
      </c>
      <c r="AB410" s="21">
        <f t="shared" si="96"/>
        <v>0.48944585454360306</v>
      </c>
    </row>
    <row r="411" spans="1:28" ht="16" customHeight="1" x14ac:dyDescent="0.2">
      <c r="A411" t="s">
        <v>498</v>
      </c>
      <c r="B411" t="s">
        <v>499</v>
      </c>
      <c r="C411" t="s">
        <v>864</v>
      </c>
      <c r="D411" t="s">
        <v>865</v>
      </c>
      <c r="E411" t="s">
        <v>502</v>
      </c>
      <c r="F411" t="s">
        <v>33</v>
      </c>
      <c r="G411" t="s">
        <v>503</v>
      </c>
      <c r="H411" s="15">
        <v>7.86</v>
      </c>
      <c r="I411" s="15">
        <f t="shared" si="98"/>
        <v>5.1045774539605917</v>
      </c>
      <c r="J411" s="17">
        <v>0.98199999999999998</v>
      </c>
      <c r="K411" s="17">
        <v>406000</v>
      </c>
      <c r="L411" s="11" t="s">
        <v>247</v>
      </c>
      <c r="M411" s="11" t="s">
        <v>247</v>
      </c>
      <c r="N411" s="14">
        <v>20</v>
      </c>
      <c r="O411" s="11">
        <v>501.26</v>
      </c>
      <c r="P411" s="13">
        <v>9.59</v>
      </c>
      <c r="Q411" s="11">
        <f t="shared" si="86"/>
        <v>119.875</v>
      </c>
      <c r="R411" s="20">
        <f t="shared" si="87"/>
        <v>23.914734868132307</v>
      </c>
      <c r="S411" s="20">
        <f t="shared" si="88"/>
        <v>0.23914734868132306</v>
      </c>
      <c r="T411" s="15">
        <f t="shared" si="89"/>
        <v>1.8796981606351995</v>
      </c>
      <c r="U411" s="15">
        <f t="shared" si="90"/>
        <v>5.7259118835527509</v>
      </c>
      <c r="V411" s="21">
        <v>7.6700000000000004E-2</v>
      </c>
      <c r="W411" s="20">
        <f t="shared" si="91"/>
        <v>5.3594786235662148</v>
      </c>
      <c r="X411" s="20">
        <f t="shared" si="92"/>
        <v>31.74</v>
      </c>
      <c r="Y411" s="21">
        <f t="shared" si="93"/>
        <v>0.1397963925621809</v>
      </c>
      <c r="Z411" s="21">
        <f t="shared" si="94"/>
        <v>0.15945507634879297</v>
      </c>
      <c r="AA411" s="21">
        <f t="shared" si="95"/>
        <v>0.15033199999999999</v>
      </c>
      <c r="AB411" s="21">
        <f t="shared" si="96"/>
        <v>0.31253194964363423</v>
      </c>
    </row>
    <row r="412" spans="1:28" ht="16" customHeight="1" x14ac:dyDescent="0.2">
      <c r="A412" t="s">
        <v>498</v>
      </c>
      <c r="B412" t="s">
        <v>499</v>
      </c>
      <c r="C412" t="s">
        <v>866</v>
      </c>
      <c r="D412" t="s">
        <v>867</v>
      </c>
      <c r="E412" t="s">
        <v>502</v>
      </c>
      <c r="F412" t="s">
        <v>33</v>
      </c>
      <c r="G412" t="s">
        <v>503</v>
      </c>
      <c r="H412" s="15">
        <v>4.4000000000000004</v>
      </c>
      <c r="I412" s="15">
        <f t="shared" si="98"/>
        <v>5.3565473235138121</v>
      </c>
      <c r="J412" s="17">
        <v>0.71599999999999997</v>
      </c>
      <c r="K412" s="17">
        <v>279000</v>
      </c>
      <c r="L412" s="11" t="s">
        <v>35</v>
      </c>
      <c r="M412" s="11" t="s">
        <v>35</v>
      </c>
      <c r="N412" s="14">
        <v>65</v>
      </c>
      <c r="O412" s="11">
        <v>250.02</v>
      </c>
      <c r="P412" s="13">
        <v>9.7609999999999992</v>
      </c>
      <c r="Q412" s="11">
        <f t="shared" si="86"/>
        <v>122.01249999999999</v>
      </c>
      <c r="R412" s="20">
        <f t="shared" si="87"/>
        <v>48.801095912327007</v>
      </c>
      <c r="S412" s="20">
        <f t="shared" si="88"/>
        <v>0.48801095912327008</v>
      </c>
      <c r="T412" s="15">
        <f t="shared" si="89"/>
        <v>2.1472482201423886</v>
      </c>
      <c r="U412" s="15">
        <f t="shared" si="90"/>
        <v>5.6681177485739687</v>
      </c>
      <c r="V412" s="21">
        <v>5.4800000000000001E-2</v>
      </c>
      <c r="W412" s="20">
        <f t="shared" si="91"/>
        <v>5.2806536215551692</v>
      </c>
      <c r="X412" s="20">
        <f t="shared" si="92"/>
        <v>31.74</v>
      </c>
      <c r="Y412" s="21">
        <f t="shared" si="93"/>
        <v>0.13973980231514843</v>
      </c>
      <c r="Z412" s="21">
        <f t="shared" si="94"/>
        <v>0.15010080729655242</v>
      </c>
      <c r="AA412" s="21">
        <f t="shared" si="95"/>
        <v>0.107408</v>
      </c>
      <c r="AB412" s="21">
        <f t="shared" si="96"/>
        <v>0.29419758230124277</v>
      </c>
    </row>
    <row r="413" spans="1:28" ht="16" customHeight="1" x14ac:dyDescent="0.2">
      <c r="A413" t="s">
        <v>498</v>
      </c>
      <c r="B413" t="s">
        <v>499</v>
      </c>
      <c r="C413" t="s">
        <v>868</v>
      </c>
      <c r="D413" t="s">
        <v>869</v>
      </c>
      <c r="E413" t="s">
        <v>502</v>
      </c>
      <c r="F413" t="s">
        <v>33</v>
      </c>
      <c r="G413" t="s">
        <v>503</v>
      </c>
      <c r="H413" s="15">
        <v>2.23</v>
      </c>
      <c r="I413" s="15">
        <f t="shared" si="98"/>
        <v>5.6516951369518393</v>
      </c>
      <c r="J413" s="17">
        <v>0.78900000000000003</v>
      </c>
      <c r="K413" s="17">
        <v>314000</v>
      </c>
      <c r="L413" s="11" t="s">
        <v>35</v>
      </c>
      <c r="M413" s="11" t="s">
        <v>35</v>
      </c>
      <c r="N413" s="14">
        <v>65</v>
      </c>
      <c r="O413" s="11">
        <v>250.18</v>
      </c>
      <c r="P413" s="13">
        <v>13.87</v>
      </c>
      <c r="Q413" s="11">
        <f t="shared" si="86"/>
        <v>173.375</v>
      </c>
      <c r="R413" s="20">
        <f t="shared" si="87"/>
        <v>69.300103925173872</v>
      </c>
      <c r="S413" s="20">
        <f t="shared" si="88"/>
        <v>0.69300103925173873</v>
      </c>
      <c r="T413" s="15">
        <f t="shared" si="89"/>
        <v>1.5453923175313773</v>
      </c>
      <c r="U413" s="15">
        <f t="shared" si="90"/>
        <v>5.8109612510543807</v>
      </c>
      <c r="V413" s="21">
        <v>4.4600000000000001E-2</v>
      </c>
      <c r="W413" s="20">
        <f t="shared" si="91"/>
        <v>3.9710310021629414</v>
      </c>
      <c r="X413" s="20">
        <f t="shared" si="92"/>
        <v>31.74</v>
      </c>
      <c r="Y413" s="21">
        <f t="shared" si="93"/>
        <v>0.13891971190340552</v>
      </c>
      <c r="Z413" s="21">
        <f t="shared" si="94"/>
        <v>0.14590355155144508</v>
      </c>
      <c r="AA413" s="21">
        <f t="shared" si="95"/>
        <v>8.7415999999999994E-2</v>
      </c>
      <c r="AB413" s="21">
        <f t="shared" si="96"/>
        <v>0.28597096104083236</v>
      </c>
    </row>
    <row r="414" spans="1:28" ht="16" customHeight="1" x14ac:dyDescent="0.2">
      <c r="A414" t="s">
        <v>498</v>
      </c>
      <c r="B414" t="s">
        <v>499</v>
      </c>
      <c r="C414" t="s">
        <v>870</v>
      </c>
      <c r="D414" t="s">
        <v>871</v>
      </c>
      <c r="E414" t="s">
        <v>502</v>
      </c>
      <c r="F414" t="s">
        <v>38</v>
      </c>
      <c r="G414" t="s">
        <v>503</v>
      </c>
      <c r="H414" s="15">
        <v>956</v>
      </c>
      <c r="I414" s="15">
        <f t="shared" si="98"/>
        <v>3.0195421077239</v>
      </c>
      <c r="J414" s="17">
        <v>1.57</v>
      </c>
      <c r="K414" s="17">
        <v>550000</v>
      </c>
      <c r="L414" s="11" t="s">
        <v>35</v>
      </c>
      <c r="M414" s="11" t="s">
        <v>81</v>
      </c>
      <c r="N414" s="14">
        <v>65</v>
      </c>
      <c r="O414" s="11">
        <v>249.42</v>
      </c>
      <c r="P414" s="23" t="s">
        <v>82</v>
      </c>
      <c r="Q414" s="11" t="str">
        <f t="shared" si="86"/>
        <v>-</v>
      </c>
      <c r="R414" s="24" t="str">
        <f t="shared" si="87"/>
        <v>-</v>
      </c>
      <c r="S414" s="20" t="str">
        <f t="shared" si="88"/>
        <v>-</v>
      </c>
      <c r="T414" s="15" t="str">
        <f t="shared" si="89"/>
        <v>-</v>
      </c>
      <c r="U414" s="15" t="str">
        <f t="shared" si="90"/>
        <v>-</v>
      </c>
      <c r="V414" s="21">
        <v>0.23599999999999999</v>
      </c>
      <c r="W414" s="20" t="str">
        <f t="shared" si="91"/>
        <v>-</v>
      </c>
      <c r="X414" s="20" t="str">
        <f t="shared" si="92"/>
        <v>-</v>
      </c>
      <c r="Y414" s="21" t="str">
        <f t="shared" si="93"/>
        <v>-</v>
      </c>
      <c r="Z414" s="21" t="str">
        <f t="shared" si="94"/>
        <v>-</v>
      </c>
      <c r="AA414" s="21">
        <f t="shared" si="95"/>
        <v>0.46255999999999997</v>
      </c>
      <c r="AB414" s="21" t="str">
        <f t="shared" si="96"/>
        <v>-</v>
      </c>
    </row>
    <row r="415" spans="1:28" ht="16" customHeight="1" x14ac:dyDescent="0.2">
      <c r="A415" t="s">
        <v>498</v>
      </c>
      <c r="B415" t="s">
        <v>499</v>
      </c>
      <c r="C415" t="s">
        <v>872</v>
      </c>
      <c r="D415" t="s">
        <v>873</v>
      </c>
      <c r="E415" t="s">
        <v>502</v>
      </c>
      <c r="F415" t="s">
        <v>33</v>
      </c>
      <c r="G415" t="s">
        <v>503</v>
      </c>
      <c r="H415" s="15">
        <v>3.83</v>
      </c>
      <c r="I415" s="15">
        <f t="shared" si="98"/>
        <v>5.4168012260313771</v>
      </c>
      <c r="J415" s="17">
        <v>1.04</v>
      </c>
      <c r="K415" s="17">
        <v>391000</v>
      </c>
      <c r="L415" s="11" t="s">
        <v>35</v>
      </c>
      <c r="M415" s="11" t="s">
        <v>35</v>
      </c>
      <c r="N415" s="14">
        <v>65</v>
      </c>
      <c r="O415" s="11">
        <v>250.54</v>
      </c>
      <c r="P415" s="13">
        <v>2.718</v>
      </c>
      <c r="Q415" s="11">
        <f t="shared" si="86"/>
        <v>33.975000000000001</v>
      </c>
      <c r="R415" s="20">
        <f t="shared" si="87"/>
        <v>13.5607088688433</v>
      </c>
      <c r="S415" s="20">
        <f t="shared" si="88"/>
        <v>0.13560708868843299</v>
      </c>
      <c r="T415" s="15">
        <f t="shared" si="89"/>
        <v>0.5193751496766984</v>
      </c>
      <c r="U415" s="15">
        <f t="shared" si="90"/>
        <v>6.2845188337141629</v>
      </c>
      <c r="V415" s="21">
        <v>4.1099999999999998E-2</v>
      </c>
      <c r="W415" s="20">
        <f t="shared" si="91"/>
        <v>16.735643855776306</v>
      </c>
      <c r="X415" s="20">
        <f t="shared" si="92"/>
        <v>31.74</v>
      </c>
      <c r="Y415" s="21">
        <f t="shared" si="93"/>
        <v>0.15583302865167703</v>
      </c>
      <c r="Z415" s="21">
        <f t="shared" si="94"/>
        <v>0.1611618528646106</v>
      </c>
      <c r="AA415" s="21">
        <f t="shared" si="95"/>
        <v>8.0555999999999989E-2</v>
      </c>
      <c r="AB415" s="21">
        <f t="shared" si="96"/>
        <v>0.31587723161463677</v>
      </c>
    </row>
    <row r="416" spans="1:28" ht="16" customHeight="1" x14ac:dyDescent="0.2">
      <c r="A416" t="s">
        <v>498</v>
      </c>
      <c r="B416" t="s">
        <v>499</v>
      </c>
      <c r="C416" t="s">
        <v>874</v>
      </c>
      <c r="D416" t="s">
        <v>875</v>
      </c>
      <c r="E416" t="s">
        <v>502</v>
      </c>
      <c r="F416" t="s">
        <v>33</v>
      </c>
      <c r="G416" t="s">
        <v>503</v>
      </c>
      <c r="H416" s="15">
        <v>8.36</v>
      </c>
      <c r="I416" s="15">
        <f t="shared" si="98"/>
        <v>5.0777937225609833</v>
      </c>
      <c r="J416" s="17">
        <v>1.29</v>
      </c>
      <c r="K416" s="17">
        <v>509000</v>
      </c>
      <c r="L416" s="11" t="s">
        <v>247</v>
      </c>
      <c r="M416" s="11" t="s">
        <v>247</v>
      </c>
      <c r="N416" s="14">
        <v>20</v>
      </c>
      <c r="O416" s="11">
        <v>501.68</v>
      </c>
      <c r="P416" s="13">
        <v>18.239999999999998</v>
      </c>
      <c r="Q416" s="11">
        <f t="shared" si="86"/>
        <v>227.99999999999997</v>
      </c>
      <c r="R416" s="20">
        <f t="shared" si="87"/>
        <v>45.447297081805125</v>
      </c>
      <c r="S416" s="20">
        <f t="shared" si="88"/>
        <v>0.45447297081805127</v>
      </c>
      <c r="T416" s="15">
        <f t="shared" si="89"/>
        <v>3.7993940360389082</v>
      </c>
      <c r="U416" s="15">
        <f t="shared" si="90"/>
        <v>5.4202856633278236</v>
      </c>
      <c r="V416" s="21">
        <v>8.5099999999999995E-2</v>
      </c>
      <c r="W416" s="20">
        <f t="shared" si="91"/>
        <v>3.2256798245614036</v>
      </c>
      <c r="X416" s="20">
        <f t="shared" si="92"/>
        <v>31.74</v>
      </c>
      <c r="Y416" s="21">
        <f t="shared" si="93"/>
        <v>0.1385550922587156</v>
      </c>
      <c r="Z416" s="21">
        <f t="shared" si="94"/>
        <v>0.16260234804830215</v>
      </c>
      <c r="AA416" s="21">
        <f t="shared" si="95"/>
        <v>0.166796</v>
      </c>
      <c r="AB416" s="21">
        <f t="shared" si="96"/>
        <v>0.31870060217467222</v>
      </c>
    </row>
    <row r="417" spans="1:28" ht="16" customHeight="1" x14ac:dyDescent="0.2">
      <c r="A417" t="s">
        <v>498</v>
      </c>
      <c r="B417" t="s">
        <v>499</v>
      </c>
      <c r="C417" t="s">
        <v>876</v>
      </c>
      <c r="D417" t="s">
        <v>877</v>
      </c>
      <c r="E417" t="s">
        <v>502</v>
      </c>
      <c r="F417" t="s">
        <v>33</v>
      </c>
      <c r="G417" t="s">
        <v>503</v>
      </c>
      <c r="H417" s="15">
        <v>1.86</v>
      </c>
      <c r="I417" s="15">
        <f t="shared" si="98"/>
        <v>5.7304870557820839</v>
      </c>
      <c r="J417" s="17">
        <v>0.61299999999999999</v>
      </c>
      <c r="K417" s="17">
        <v>261000</v>
      </c>
      <c r="L417" s="11" t="s">
        <v>247</v>
      </c>
      <c r="M417" s="11" t="s">
        <v>247</v>
      </c>
      <c r="N417" s="14">
        <v>20</v>
      </c>
      <c r="O417" s="11">
        <v>499.98</v>
      </c>
      <c r="P417" s="13">
        <v>46.8</v>
      </c>
      <c r="Q417" s="11">
        <f t="shared" si="86"/>
        <v>585</v>
      </c>
      <c r="R417" s="20">
        <f t="shared" si="87"/>
        <v>117.00468018720748</v>
      </c>
      <c r="S417" s="20">
        <f t="shared" si="88"/>
        <v>1.1700468018720749</v>
      </c>
      <c r="T417" s="15">
        <f t="shared" si="89"/>
        <v>2.1762870514820594</v>
      </c>
      <c r="U417" s="15">
        <f t="shared" si="90"/>
        <v>5.6622838219092007</v>
      </c>
      <c r="V417" s="21">
        <v>4.2500000000000003E-2</v>
      </c>
      <c r="W417" s="20">
        <f t="shared" si="91"/>
        <v>1.7820085470085472</v>
      </c>
      <c r="X417" s="20">
        <f t="shared" si="92"/>
        <v>31.74</v>
      </c>
      <c r="Y417" s="21">
        <f t="shared" si="93"/>
        <v>0.13806215121034968</v>
      </c>
      <c r="Z417" s="21">
        <f t="shared" si="94"/>
        <v>0.14445555578387928</v>
      </c>
      <c r="AA417" s="21">
        <f t="shared" si="95"/>
        <v>8.3299999999999999E-2</v>
      </c>
      <c r="AB417" s="21">
        <f t="shared" si="96"/>
        <v>0.2831328893364034</v>
      </c>
    </row>
    <row r="418" spans="1:28" ht="16" customHeight="1" x14ac:dyDescent="0.2">
      <c r="A418" t="s">
        <v>498</v>
      </c>
      <c r="B418" t="s">
        <v>499</v>
      </c>
      <c r="C418" t="s">
        <v>878</v>
      </c>
      <c r="D418" t="s">
        <v>879</v>
      </c>
      <c r="E418" t="s">
        <v>502</v>
      </c>
      <c r="F418" t="s">
        <v>38</v>
      </c>
      <c r="G418" t="s">
        <v>503</v>
      </c>
      <c r="H418" s="15">
        <v>186</v>
      </c>
      <c r="I418" s="15">
        <f t="shared" si="98"/>
        <v>3.7304870557820835</v>
      </c>
      <c r="J418" s="17">
        <v>1.35</v>
      </c>
      <c r="K418" s="17">
        <v>526000</v>
      </c>
      <c r="L418" s="11" t="s">
        <v>35</v>
      </c>
      <c r="M418" s="11" t="s">
        <v>81</v>
      </c>
      <c r="N418" s="14">
        <v>65</v>
      </c>
      <c r="O418" s="11">
        <v>249.82</v>
      </c>
      <c r="P418" s="23" t="s">
        <v>82</v>
      </c>
      <c r="Q418" s="11" t="str">
        <f t="shared" si="86"/>
        <v>-</v>
      </c>
      <c r="R418" s="24" t="str">
        <f t="shared" si="87"/>
        <v>-</v>
      </c>
      <c r="S418" s="20" t="str">
        <f t="shared" si="88"/>
        <v>-</v>
      </c>
      <c r="T418" s="15" t="str">
        <f t="shared" si="89"/>
        <v>-</v>
      </c>
      <c r="U418" s="15" t="str">
        <f t="shared" si="90"/>
        <v>-</v>
      </c>
      <c r="V418" s="21">
        <v>0.19500000000000001</v>
      </c>
      <c r="W418" s="20" t="str">
        <f t="shared" si="91"/>
        <v>-</v>
      </c>
      <c r="X418" s="20" t="str">
        <f t="shared" si="92"/>
        <v>-</v>
      </c>
      <c r="Y418" s="21" t="str">
        <f t="shared" si="93"/>
        <v>-</v>
      </c>
      <c r="Z418" s="21" t="str">
        <f t="shared" si="94"/>
        <v>-</v>
      </c>
      <c r="AA418" s="21">
        <f t="shared" si="95"/>
        <v>0.38219999999999998</v>
      </c>
      <c r="AB418" s="21" t="str">
        <f t="shared" si="96"/>
        <v>-</v>
      </c>
    </row>
    <row r="419" spans="1:28" ht="16" customHeight="1" x14ac:dyDescent="0.2">
      <c r="A419" t="s">
        <v>498</v>
      </c>
      <c r="B419" t="s">
        <v>499</v>
      </c>
      <c r="C419" t="s">
        <v>880</v>
      </c>
      <c r="D419" t="s">
        <v>881</v>
      </c>
      <c r="E419" t="s">
        <v>502</v>
      </c>
      <c r="F419" t="s">
        <v>38</v>
      </c>
      <c r="G419" t="s">
        <v>503</v>
      </c>
      <c r="H419" s="15">
        <v>353</v>
      </c>
      <c r="I419" s="15">
        <f t="shared" si="98"/>
        <v>3.4522252946121776</v>
      </c>
      <c r="J419" s="17">
        <v>1.05</v>
      </c>
      <c r="K419" s="17">
        <v>393000</v>
      </c>
      <c r="L419" s="11" t="s">
        <v>35</v>
      </c>
      <c r="M419" s="11" t="s">
        <v>35</v>
      </c>
      <c r="N419" s="14">
        <v>65</v>
      </c>
      <c r="O419" s="11">
        <v>249.66</v>
      </c>
      <c r="P419" s="13">
        <v>34.807000000000002</v>
      </c>
      <c r="Q419" s="11">
        <f t="shared" si="86"/>
        <v>435.08750000000003</v>
      </c>
      <c r="R419" s="20">
        <f t="shared" si="87"/>
        <v>174.27200993350959</v>
      </c>
      <c r="S419" s="20">
        <f t="shared" si="88"/>
        <v>1.742720099335096</v>
      </c>
      <c r="T419" s="15">
        <f t="shared" si="89"/>
        <v>615.1801950652889</v>
      </c>
      <c r="U419" s="15">
        <f t="shared" si="90"/>
        <v>3.2109976545335268</v>
      </c>
      <c r="V419" s="21">
        <v>0.28699999999999998</v>
      </c>
      <c r="W419" s="20">
        <f t="shared" si="91"/>
        <v>2.0996931651679258</v>
      </c>
      <c r="X419" s="20">
        <f t="shared" si="92"/>
        <v>31.74</v>
      </c>
      <c r="Y419" s="21">
        <f t="shared" si="93"/>
        <v>0.1381463585436962</v>
      </c>
      <c r="Z419" s="21">
        <f t="shared" si="94"/>
        <v>0.31851752915480719</v>
      </c>
      <c r="AA419" s="21">
        <f t="shared" si="95"/>
        <v>0.56251999999999991</v>
      </c>
      <c r="AB419" s="21">
        <f t="shared" si="96"/>
        <v>0.62429435714342207</v>
      </c>
    </row>
    <row r="420" spans="1:28" ht="16" customHeight="1" x14ac:dyDescent="0.2">
      <c r="A420" t="s">
        <v>498</v>
      </c>
      <c r="B420" t="s">
        <v>499</v>
      </c>
      <c r="C420" t="s">
        <v>882</v>
      </c>
      <c r="D420" t="s">
        <v>883</v>
      </c>
      <c r="E420" t="s">
        <v>502</v>
      </c>
      <c r="F420" t="s">
        <v>38</v>
      </c>
      <c r="G420" t="s">
        <v>503</v>
      </c>
      <c r="H420" s="15">
        <v>111</v>
      </c>
      <c r="I420" s="15">
        <f t="shared" si="98"/>
        <v>3.9546770212133424</v>
      </c>
      <c r="J420" s="17">
        <v>1.35</v>
      </c>
      <c r="K420" s="17">
        <v>483000</v>
      </c>
      <c r="L420" s="11" t="s">
        <v>35</v>
      </c>
      <c r="M420" s="11" t="s">
        <v>35</v>
      </c>
      <c r="N420" s="14">
        <v>65</v>
      </c>
      <c r="O420" s="11">
        <v>250.65</v>
      </c>
      <c r="P420" s="13">
        <v>2.8460000000000001</v>
      </c>
      <c r="Q420" s="11">
        <f t="shared" si="86"/>
        <v>35.575000000000003</v>
      </c>
      <c r="R420" s="20">
        <f t="shared" si="87"/>
        <v>14.193097945342112</v>
      </c>
      <c r="S420" s="20">
        <f t="shared" si="88"/>
        <v>0.14193097945342112</v>
      </c>
      <c r="T420" s="15">
        <f t="shared" si="89"/>
        <v>15.754338719329745</v>
      </c>
      <c r="U420" s="15">
        <f t="shared" si="90"/>
        <v>4.8025998214060932</v>
      </c>
      <c r="V420" s="21">
        <v>0.14099999999999999</v>
      </c>
      <c r="W420" s="20">
        <f t="shared" si="91"/>
        <v>16.021630358397751</v>
      </c>
      <c r="X420" s="20">
        <f t="shared" si="92"/>
        <v>31.74</v>
      </c>
      <c r="Y420" s="21">
        <f t="shared" si="93"/>
        <v>0.1544110953166444</v>
      </c>
      <c r="Z420" s="21">
        <f t="shared" si="94"/>
        <v>0.20910233465192549</v>
      </c>
      <c r="AA420" s="21">
        <f t="shared" si="95"/>
        <v>0.27635999999999999</v>
      </c>
      <c r="AB420" s="21">
        <f t="shared" si="96"/>
        <v>0.40984057591777395</v>
      </c>
    </row>
    <row r="421" spans="1:28" ht="16" customHeight="1" x14ac:dyDescent="0.2">
      <c r="A421" t="s">
        <v>498</v>
      </c>
      <c r="B421" t="s">
        <v>499</v>
      </c>
      <c r="C421" t="s">
        <v>884</v>
      </c>
      <c r="D421" t="s">
        <v>885</v>
      </c>
      <c r="E421" t="s">
        <v>502</v>
      </c>
      <c r="F421" t="s">
        <v>33</v>
      </c>
      <c r="G421" t="s">
        <v>503</v>
      </c>
      <c r="H421" s="15">
        <v>4.47</v>
      </c>
      <c r="I421" s="15">
        <f t="shared" si="98"/>
        <v>5.3496924768680634</v>
      </c>
      <c r="J421" s="17">
        <v>0.81699999999999995</v>
      </c>
      <c r="K421" s="17">
        <v>308000</v>
      </c>
      <c r="L421" s="11" t="s">
        <v>35</v>
      </c>
      <c r="M421" s="11" t="s">
        <v>35</v>
      </c>
      <c r="N421" s="14">
        <v>65</v>
      </c>
      <c r="O421" s="11">
        <v>250.02</v>
      </c>
      <c r="P421" s="13">
        <v>14.781000000000001</v>
      </c>
      <c r="Q421" s="11">
        <f t="shared" si="86"/>
        <v>184.76250000000002</v>
      </c>
      <c r="R421" s="20">
        <f t="shared" si="87"/>
        <v>73.899088072954171</v>
      </c>
      <c r="S421" s="20">
        <f t="shared" si="88"/>
        <v>0.73899088072954167</v>
      </c>
      <c r="T421" s="15">
        <f t="shared" si="89"/>
        <v>3.3032892368610511</v>
      </c>
      <c r="U421" s="15">
        <f t="shared" si="90"/>
        <v>5.4810533977063569</v>
      </c>
      <c r="V421" s="21">
        <v>6.4600000000000005E-2</v>
      </c>
      <c r="W421" s="20">
        <f t="shared" si="91"/>
        <v>3.7792882754888026</v>
      </c>
      <c r="X421" s="20">
        <f t="shared" si="92"/>
        <v>31.74</v>
      </c>
      <c r="Y421" s="21">
        <f t="shared" si="93"/>
        <v>0.13881879334885699</v>
      </c>
      <c r="Z421" s="21">
        <f t="shared" si="94"/>
        <v>0.15311374003280262</v>
      </c>
      <c r="AA421" s="21">
        <f t="shared" si="95"/>
        <v>0.12661600000000001</v>
      </c>
      <c r="AB421" s="21">
        <f t="shared" si="96"/>
        <v>0.30010293046429315</v>
      </c>
    </row>
    <row r="422" spans="1:28" ht="16" customHeight="1" x14ac:dyDescent="0.2">
      <c r="A422" t="s">
        <v>498</v>
      </c>
      <c r="B422" t="s">
        <v>499</v>
      </c>
      <c r="C422" t="s">
        <v>886</v>
      </c>
      <c r="D422" t="s">
        <v>887</v>
      </c>
      <c r="E422" t="s">
        <v>502</v>
      </c>
      <c r="F422" t="s">
        <v>33</v>
      </c>
      <c r="G422" t="s">
        <v>503</v>
      </c>
      <c r="H422" s="16" t="s">
        <v>67</v>
      </c>
      <c r="I422" s="16" t="s">
        <v>67</v>
      </c>
      <c r="J422" s="18" t="s">
        <v>67</v>
      </c>
      <c r="K422" s="18" t="s">
        <v>67</v>
      </c>
      <c r="L422" s="11" t="s">
        <v>35</v>
      </c>
      <c r="M422" s="11" t="s">
        <v>35</v>
      </c>
      <c r="N422" s="14">
        <v>65</v>
      </c>
      <c r="O422" s="11">
        <v>249.21</v>
      </c>
      <c r="P422" s="13">
        <v>19.004000000000001</v>
      </c>
      <c r="Q422" s="11">
        <f t="shared" si="86"/>
        <v>237.55</v>
      </c>
      <c r="R422" s="20">
        <f t="shared" si="87"/>
        <v>95.321215039524901</v>
      </c>
      <c r="S422" s="20">
        <f t="shared" si="88"/>
        <v>0.95321215039524898</v>
      </c>
      <c r="T422" s="15" t="str">
        <f t="shared" si="89"/>
        <v>no data</v>
      </c>
      <c r="U422" s="15" t="str">
        <f t="shared" si="90"/>
        <v>no data</v>
      </c>
      <c r="V422" s="22" t="s">
        <v>68</v>
      </c>
      <c r="W422" s="20">
        <f t="shared" si="91"/>
        <v>3.1305746158703429</v>
      </c>
      <c r="X422" s="20">
        <f t="shared" si="92"/>
        <v>31.74</v>
      </c>
      <c r="Y422" s="21">
        <f t="shared" si="93"/>
        <v>0.13851394070754208</v>
      </c>
      <c r="Z422" s="21" t="str">
        <f t="shared" si="94"/>
        <v>-</v>
      </c>
      <c r="AA422" s="21" t="str">
        <f t="shared" si="95"/>
        <v>-</v>
      </c>
      <c r="AB422" s="21" t="str">
        <f t="shared" si="96"/>
        <v>-</v>
      </c>
    </row>
    <row r="423" spans="1:28" ht="16" customHeight="1" x14ac:dyDescent="0.2">
      <c r="A423" t="s">
        <v>498</v>
      </c>
      <c r="B423" t="s">
        <v>499</v>
      </c>
      <c r="C423" t="s">
        <v>888</v>
      </c>
      <c r="D423" t="s">
        <v>889</v>
      </c>
      <c r="E423" t="s">
        <v>502</v>
      </c>
      <c r="F423" t="s">
        <v>33</v>
      </c>
      <c r="G423" t="s">
        <v>503</v>
      </c>
      <c r="H423" s="15">
        <v>30.1</v>
      </c>
      <c r="I423" s="15">
        <f t="shared" ref="I423:I457" si="99">IF(H423=0, 0, -LOG10(H423*10^-6))</f>
        <v>4.5214335044061569</v>
      </c>
      <c r="J423" s="17">
        <v>1.32</v>
      </c>
      <c r="K423" s="17">
        <v>455000</v>
      </c>
      <c r="L423" s="11" t="s">
        <v>247</v>
      </c>
      <c r="M423" s="11" t="s">
        <v>247</v>
      </c>
      <c r="N423" s="14">
        <v>20</v>
      </c>
      <c r="O423" s="11">
        <v>500.48</v>
      </c>
      <c r="P423" s="13">
        <v>13.26</v>
      </c>
      <c r="Q423" s="11">
        <f t="shared" si="86"/>
        <v>165.75</v>
      </c>
      <c r="R423" s="20">
        <f t="shared" si="87"/>
        <v>33.118206521739133</v>
      </c>
      <c r="S423" s="20">
        <f t="shared" si="88"/>
        <v>0.33118206521739135</v>
      </c>
      <c r="T423" s="15">
        <f t="shared" si="89"/>
        <v>9.9685801630434803</v>
      </c>
      <c r="U423" s="15">
        <f t="shared" si="90"/>
        <v>5.0013666943730808</v>
      </c>
      <c r="V423" s="21">
        <v>0.11</v>
      </c>
      <c r="W423" s="20">
        <f t="shared" si="91"/>
        <v>4.1141478129713427</v>
      </c>
      <c r="X423" s="20">
        <f t="shared" si="92"/>
        <v>31.74</v>
      </c>
      <c r="Y423" s="21">
        <f t="shared" si="93"/>
        <v>0.13899824130702018</v>
      </c>
      <c r="Z423" s="21">
        <f t="shared" si="94"/>
        <v>0.17725831739708187</v>
      </c>
      <c r="AA423" s="21">
        <f t="shared" si="95"/>
        <v>0.21559999999999999</v>
      </c>
      <c r="AB423" s="21">
        <f t="shared" si="96"/>
        <v>0.34742630209828046</v>
      </c>
    </row>
    <row r="424" spans="1:28" ht="16" customHeight="1" x14ac:dyDescent="0.2">
      <c r="A424" t="s">
        <v>498</v>
      </c>
      <c r="B424" t="s">
        <v>499</v>
      </c>
      <c r="C424" t="s">
        <v>890</v>
      </c>
      <c r="D424" t="s">
        <v>891</v>
      </c>
      <c r="E424" t="s">
        <v>502</v>
      </c>
      <c r="F424" t="s">
        <v>38</v>
      </c>
      <c r="G424" t="s">
        <v>503</v>
      </c>
      <c r="H424" s="15">
        <v>3.93</v>
      </c>
      <c r="I424" s="15">
        <f t="shared" si="99"/>
        <v>5.405607449624573</v>
      </c>
      <c r="J424" s="17">
        <v>0.60199999999999998</v>
      </c>
      <c r="K424" s="17">
        <v>282000</v>
      </c>
      <c r="L424" s="11" t="s">
        <v>35</v>
      </c>
      <c r="M424" s="11" t="s">
        <v>55</v>
      </c>
      <c r="N424" s="14">
        <v>65</v>
      </c>
      <c r="O424" s="11">
        <v>250.94</v>
      </c>
      <c r="P424" s="23" t="s">
        <v>56</v>
      </c>
      <c r="Q424" s="11" t="str">
        <f t="shared" si="86"/>
        <v>-</v>
      </c>
      <c r="R424" s="24" t="str">
        <f t="shared" si="87"/>
        <v>-</v>
      </c>
      <c r="S424" s="20" t="str">
        <f t="shared" si="88"/>
        <v>-</v>
      </c>
      <c r="T424" s="15" t="str">
        <f t="shared" si="89"/>
        <v>-</v>
      </c>
      <c r="U424" s="15" t="str">
        <f t="shared" si="90"/>
        <v>-</v>
      </c>
      <c r="V424" s="21">
        <v>0.122</v>
      </c>
      <c r="W424" s="20" t="str">
        <f t="shared" si="91"/>
        <v>-</v>
      </c>
      <c r="X424" s="20" t="str">
        <f t="shared" si="92"/>
        <v>-</v>
      </c>
      <c r="Y424" s="21" t="str">
        <f t="shared" si="93"/>
        <v>-</v>
      </c>
      <c r="Z424" s="21" t="str">
        <f t="shared" si="94"/>
        <v>-</v>
      </c>
      <c r="AA424" s="21">
        <f t="shared" si="95"/>
        <v>0.23912</v>
      </c>
      <c r="AB424" s="21" t="str">
        <f t="shared" si="96"/>
        <v>-</v>
      </c>
    </row>
    <row r="425" spans="1:28" ht="16" customHeight="1" x14ac:dyDescent="0.2">
      <c r="A425" t="s">
        <v>498</v>
      </c>
      <c r="B425" t="s">
        <v>499</v>
      </c>
      <c r="C425" t="s">
        <v>892</v>
      </c>
      <c r="D425" t="s">
        <v>893</v>
      </c>
      <c r="E425" t="s">
        <v>502</v>
      </c>
      <c r="F425" t="s">
        <v>33</v>
      </c>
      <c r="G425" t="s">
        <v>503</v>
      </c>
      <c r="H425" s="15">
        <v>4.72</v>
      </c>
      <c r="I425" s="15">
        <f t="shared" si="99"/>
        <v>5.3260580013659125</v>
      </c>
      <c r="J425" s="17">
        <v>0.79100000000000004</v>
      </c>
      <c r="K425" s="17">
        <v>344000</v>
      </c>
      <c r="L425" s="11" t="s">
        <v>35</v>
      </c>
      <c r="M425" s="11" t="s">
        <v>35</v>
      </c>
      <c r="N425" s="14">
        <v>65</v>
      </c>
      <c r="O425" s="11">
        <v>249.84</v>
      </c>
      <c r="P425" s="13">
        <v>17.597999999999999</v>
      </c>
      <c r="Q425" s="11">
        <f t="shared" si="86"/>
        <v>219.97499999999999</v>
      </c>
      <c r="R425" s="20">
        <f t="shared" si="87"/>
        <v>88.046349663784824</v>
      </c>
      <c r="S425" s="20">
        <f t="shared" si="88"/>
        <v>0.88046349663784829</v>
      </c>
      <c r="T425" s="15">
        <f t="shared" si="89"/>
        <v>4.1557877041306437</v>
      </c>
      <c r="U425" s="15">
        <f t="shared" si="90"/>
        <v>5.3813466462158024</v>
      </c>
      <c r="V425" s="21">
        <v>7.3499999999999996E-2</v>
      </c>
      <c r="W425" s="20">
        <f t="shared" si="91"/>
        <v>3.3119831799068074</v>
      </c>
      <c r="X425" s="20">
        <f t="shared" si="92"/>
        <v>31.74</v>
      </c>
      <c r="Y425" s="21">
        <f t="shared" si="93"/>
        <v>0.13859349004369503</v>
      </c>
      <c r="Z425" s="21">
        <f t="shared" si="94"/>
        <v>0.1568770393731721</v>
      </c>
      <c r="AA425" s="21">
        <f t="shared" si="95"/>
        <v>0.14405999999999999</v>
      </c>
      <c r="AB425" s="21">
        <f t="shared" si="96"/>
        <v>0.3074789971714173</v>
      </c>
    </row>
    <row r="426" spans="1:28" ht="16" customHeight="1" x14ac:dyDescent="0.2">
      <c r="A426" t="s">
        <v>498</v>
      </c>
      <c r="B426" t="s">
        <v>499</v>
      </c>
      <c r="C426" t="s">
        <v>894</v>
      </c>
      <c r="D426" t="s">
        <v>895</v>
      </c>
      <c r="E426" t="s">
        <v>502</v>
      </c>
      <c r="F426" t="s">
        <v>33</v>
      </c>
      <c r="G426" t="s">
        <v>503</v>
      </c>
      <c r="H426" s="15">
        <v>4.3099999999999996</v>
      </c>
      <c r="I426" s="15">
        <f t="shared" si="99"/>
        <v>5.3655227298392685</v>
      </c>
      <c r="J426" s="17">
        <v>0.72099999999999997</v>
      </c>
      <c r="K426" s="17">
        <v>294000</v>
      </c>
      <c r="L426" s="11" t="s">
        <v>35</v>
      </c>
      <c r="M426" s="11" t="s">
        <v>35</v>
      </c>
      <c r="N426" s="14">
        <v>65</v>
      </c>
      <c r="O426" s="11">
        <v>250.88</v>
      </c>
      <c r="P426" s="13">
        <v>15.888</v>
      </c>
      <c r="Q426" s="11">
        <f t="shared" si="86"/>
        <v>198.6</v>
      </c>
      <c r="R426" s="20">
        <f t="shared" si="87"/>
        <v>79.161352040816325</v>
      </c>
      <c r="S426" s="20">
        <f t="shared" si="88"/>
        <v>0.79161352040816324</v>
      </c>
      <c r="T426" s="15">
        <f t="shared" si="89"/>
        <v>3.4118542729591832</v>
      </c>
      <c r="U426" s="15">
        <f t="shared" si="90"/>
        <v>5.4670095266842509</v>
      </c>
      <c r="V426" s="21">
        <v>6.13E-2</v>
      </c>
      <c r="W426" s="20">
        <f t="shared" si="91"/>
        <v>3.5758862034239676</v>
      </c>
      <c r="X426" s="20">
        <f t="shared" si="92"/>
        <v>31.74</v>
      </c>
      <c r="Y426" s="21">
        <f t="shared" si="93"/>
        <v>0.13871712218798204</v>
      </c>
      <c r="Z426" s="21">
        <f t="shared" si="94"/>
        <v>0.1516579374385513</v>
      </c>
      <c r="AA426" s="21">
        <f t="shared" si="95"/>
        <v>0.120148</v>
      </c>
      <c r="AB426" s="21">
        <f t="shared" si="96"/>
        <v>0.29724955737956055</v>
      </c>
    </row>
    <row r="427" spans="1:28" ht="16" customHeight="1" x14ac:dyDescent="0.2">
      <c r="A427" t="s">
        <v>498</v>
      </c>
      <c r="B427" t="s">
        <v>499</v>
      </c>
      <c r="C427" t="s">
        <v>896</v>
      </c>
      <c r="D427" t="s">
        <v>897</v>
      </c>
      <c r="E427" t="s">
        <v>502</v>
      </c>
      <c r="F427" t="s">
        <v>33</v>
      </c>
      <c r="G427" t="s">
        <v>503</v>
      </c>
      <c r="H427" s="15">
        <v>4.74</v>
      </c>
      <c r="I427" s="15">
        <f t="shared" si="99"/>
        <v>5.3242216583259152</v>
      </c>
      <c r="J427" s="17">
        <v>0.57899999999999996</v>
      </c>
      <c r="K427" s="17">
        <v>240000</v>
      </c>
      <c r="L427" s="11" t="s">
        <v>247</v>
      </c>
      <c r="M427" s="11" t="s">
        <v>247</v>
      </c>
      <c r="N427" s="14">
        <v>20</v>
      </c>
      <c r="O427" s="11">
        <v>499.8</v>
      </c>
      <c r="P427" s="13">
        <v>10.66</v>
      </c>
      <c r="Q427" s="11">
        <f t="shared" si="86"/>
        <v>133.25</v>
      </c>
      <c r="R427" s="20">
        <f t="shared" si="87"/>
        <v>26.660664265706281</v>
      </c>
      <c r="S427" s="20">
        <f t="shared" si="88"/>
        <v>0.2666066426570628</v>
      </c>
      <c r="T427" s="15">
        <f t="shared" si="89"/>
        <v>1.2637154861944777</v>
      </c>
      <c r="U427" s="15">
        <f t="shared" si="90"/>
        <v>5.8983506924177362</v>
      </c>
      <c r="V427" s="21">
        <v>5.3600000000000002E-2</v>
      </c>
      <c r="W427" s="20">
        <f t="shared" si="91"/>
        <v>4.9078424015009379</v>
      </c>
      <c r="X427" s="20">
        <f t="shared" si="92"/>
        <v>31.74</v>
      </c>
      <c r="Y427" s="21">
        <f t="shared" si="93"/>
        <v>0.13948322607060926</v>
      </c>
      <c r="Z427" s="21">
        <f t="shared" si="94"/>
        <v>0.14942734139060593</v>
      </c>
      <c r="AA427" s="21">
        <f t="shared" si="95"/>
        <v>0.105056</v>
      </c>
      <c r="AB427" s="21">
        <f t="shared" si="96"/>
        <v>0.29287758912558759</v>
      </c>
    </row>
    <row r="428" spans="1:28" ht="16" customHeight="1" x14ac:dyDescent="0.2">
      <c r="A428" t="s">
        <v>498</v>
      </c>
      <c r="B428" t="s">
        <v>499</v>
      </c>
      <c r="C428" t="s">
        <v>898</v>
      </c>
      <c r="D428" t="s">
        <v>899</v>
      </c>
      <c r="E428" t="s">
        <v>502</v>
      </c>
      <c r="F428" t="s">
        <v>38</v>
      </c>
      <c r="G428" t="s">
        <v>503</v>
      </c>
      <c r="H428" s="15">
        <v>3830</v>
      </c>
      <c r="I428" s="15">
        <f t="shared" si="99"/>
        <v>2.4168012260313771</v>
      </c>
      <c r="J428" s="17">
        <v>1.27</v>
      </c>
      <c r="K428" s="17">
        <v>439000</v>
      </c>
      <c r="L428" s="11" t="s">
        <v>35</v>
      </c>
      <c r="M428" s="11" t="s">
        <v>81</v>
      </c>
      <c r="N428" s="14">
        <v>65</v>
      </c>
      <c r="O428" s="11">
        <v>250.54</v>
      </c>
      <c r="P428" s="23" t="s">
        <v>82</v>
      </c>
      <c r="Q428" s="11" t="str">
        <f t="shared" si="86"/>
        <v>-</v>
      </c>
      <c r="R428" s="24" t="str">
        <f t="shared" si="87"/>
        <v>-</v>
      </c>
      <c r="S428" s="20" t="str">
        <f t="shared" si="88"/>
        <v>-</v>
      </c>
      <c r="T428" s="15" t="str">
        <f t="shared" si="89"/>
        <v>-</v>
      </c>
      <c r="U428" s="15" t="str">
        <f t="shared" si="90"/>
        <v>-</v>
      </c>
      <c r="V428" s="21">
        <v>0.46600000000000003</v>
      </c>
      <c r="W428" s="20" t="str">
        <f t="shared" si="91"/>
        <v>-</v>
      </c>
      <c r="X428" s="20" t="str">
        <f t="shared" si="92"/>
        <v>-</v>
      </c>
      <c r="Y428" s="21" t="str">
        <f t="shared" si="93"/>
        <v>-</v>
      </c>
      <c r="Z428" s="21" t="str">
        <f t="shared" si="94"/>
        <v>-</v>
      </c>
      <c r="AA428" s="21">
        <f t="shared" si="95"/>
        <v>0.91336000000000006</v>
      </c>
      <c r="AB428" s="21" t="str">
        <f t="shared" si="96"/>
        <v>-</v>
      </c>
    </row>
    <row r="429" spans="1:28" ht="16" customHeight="1" x14ac:dyDescent="0.2">
      <c r="A429" t="s">
        <v>498</v>
      </c>
      <c r="B429" t="s">
        <v>499</v>
      </c>
      <c r="C429" t="s">
        <v>900</v>
      </c>
      <c r="D429" t="s">
        <v>901</v>
      </c>
      <c r="E429" t="s">
        <v>502</v>
      </c>
      <c r="F429" t="s">
        <v>38</v>
      </c>
      <c r="G429" t="s">
        <v>503</v>
      </c>
      <c r="H429" s="15">
        <v>9270</v>
      </c>
      <c r="I429" s="15">
        <f t="shared" si="99"/>
        <v>2.0329202658555028</v>
      </c>
      <c r="J429" s="17">
        <v>1.25</v>
      </c>
      <c r="K429" s="17">
        <v>434000</v>
      </c>
      <c r="L429" s="11" t="s">
        <v>35</v>
      </c>
      <c r="M429" s="11" t="s">
        <v>81</v>
      </c>
      <c r="N429" s="14">
        <v>65</v>
      </c>
      <c r="O429" s="11">
        <v>249.45</v>
      </c>
      <c r="P429" s="23" t="s">
        <v>82</v>
      </c>
      <c r="Q429" s="11" t="str">
        <f t="shared" si="86"/>
        <v>-</v>
      </c>
      <c r="R429" s="24" t="str">
        <f t="shared" si="87"/>
        <v>-</v>
      </c>
      <c r="S429" s="20" t="str">
        <f t="shared" si="88"/>
        <v>-</v>
      </c>
      <c r="T429" s="15" t="str">
        <f t="shared" si="89"/>
        <v>-</v>
      </c>
      <c r="U429" s="15" t="str">
        <f t="shared" si="90"/>
        <v>-</v>
      </c>
      <c r="V429" s="21">
        <v>0.59299999999999997</v>
      </c>
      <c r="W429" s="20" t="str">
        <f t="shared" si="91"/>
        <v>-</v>
      </c>
      <c r="X429" s="20" t="str">
        <f t="shared" si="92"/>
        <v>-</v>
      </c>
      <c r="Y429" s="21" t="str">
        <f t="shared" si="93"/>
        <v>-</v>
      </c>
      <c r="Z429" s="21" t="str">
        <f t="shared" si="94"/>
        <v>-</v>
      </c>
      <c r="AA429" s="21">
        <f t="shared" si="95"/>
        <v>1.16228</v>
      </c>
      <c r="AB429" s="21" t="str">
        <f t="shared" si="96"/>
        <v>-</v>
      </c>
    </row>
    <row r="430" spans="1:28" ht="16" customHeight="1" x14ac:dyDescent="0.2">
      <c r="A430" t="s">
        <v>498</v>
      </c>
      <c r="B430" t="s">
        <v>499</v>
      </c>
      <c r="C430" t="s">
        <v>902</v>
      </c>
      <c r="D430" t="s">
        <v>903</v>
      </c>
      <c r="E430" t="s">
        <v>502</v>
      </c>
      <c r="F430" t="s">
        <v>38</v>
      </c>
      <c r="G430" t="s">
        <v>503</v>
      </c>
      <c r="H430" s="15">
        <v>4.2300000000000004</v>
      </c>
      <c r="I430" s="15">
        <f t="shared" si="99"/>
        <v>5.3736596326249577</v>
      </c>
      <c r="J430" s="17">
        <v>1.1499999999999999</v>
      </c>
      <c r="K430" s="17">
        <v>461000</v>
      </c>
      <c r="L430" s="11" t="s">
        <v>35</v>
      </c>
      <c r="M430" s="11" t="s">
        <v>35</v>
      </c>
      <c r="N430" s="14">
        <v>65</v>
      </c>
      <c r="O430" s="11">
        <v>249.62</v>
      </c>
      <c r="P430" s="13">
        <v>8.4280000000000008</v>
      </c>
      <c r="Q430" s="11">
        <f t="shared" si="86"/>
        <v>105.35000000000001</v>
      </c>
      <c r="R430" s="20">
        <f t="shared" si="87"/>
        <v>42.204150308468876</v>
      </c>
      <c r="S430" s="20">
        <f t="shared" si="88"/>
        <v>0.42204150308468874</v>
      </c>
      <c r="T430" s="15">
        <f t="shared" si="89"/>
        <v>1.7852355580482335</v>
      </c>
      <c r="U430" s="15">
        <f t="shared" si="90"/>
        <v>5.7483044715344311</v>
      </c>
      <c r="V430" s="21">
        <v>0.19700000000000001</v>
      </c>
      <c r="W430" s="20">
        <f t="shared" si="91"/>
        <v>5.9798386331276694</v>
      </c>
      <c r="X430" s="20">
        <f t="shared" si="92"/>
        <v>31.74</v>
      </c>
      <c r="Y430" s="21">
        <f t="shared" si="93"/>
        <v>0.14027013045418271</v>
      </c>
      <c r="Z430" s="21">
        <f t="shared" si="94"/>
        <v>0.24183612115983302</v>
      </c>
      <c r="AA430" s="21">
        <f t="shared" si="95"/>
        <v>0.38612000000000002</v>
      </c>
      <c r="AB430" s="21">
        <f t="shared" si="96"/>
        <v>0.47399879747327273</v>
      </c>
    </row>
    <row r="431" spans="1:28" ht="16" customHeight="1" x14ac:dyDescent="0.2">
      <c r="A431" t="s">
        <v>498</v>
      </c>
      <c r="B431" t="s">
        <v>499</v>
      </c>
      <c r="C431" t="s">
        <v>904</v>
      </c>
      <c r="D431" t="s">
        <v>905</v>
      </c>
      <c r="E431" t="s">
        <v>502</v>
      </c>
      <c r="F431" t="s">
        <v>38</v>
      </c>
      <c r="G431" t="s">
        <v>503</v>
      </c>
      <c r="H431" s="15">
        <v>2050</v>
      </c>
      <c r="I431" s="15">
        <f t="shared" si="99"/>
        <v>2.6882461389442458</v>
      </c>
      <c r="J431" s="17">
        <v>1.4</v>
      </c>
      <c r="K431" s="17">
        <v>498000</v>
      </c>
      <c r="L431" s="11" t="s">
        <v>35</v>
      </c>
      <c r="M431" s="11" t="s">
        <v>35</v>
      </c>
      <c r="N431" s="14">
        <v>65</v>
      </c>
      <c r="O431" s="11">
        <v>250.54</v>
      </c>
      <c r="P431" s="13">
        <v>4.7060000000000004</v>
      </c>
      <c r="Q431" s="11">
        <f t="shared" si="86"/>
        <v>58.825000000000003</v>
      </c>
      <c r="R431" s="20">
        <f t="shared" si="87"/>
        <v>23.479284744950906</v>
      </c>
      <c r="S431" s="20">
        <f t="shared" si="88"/>
        <v>0.23479284744950907</v>
      </c>
      <c r="T431" s="15">
        <f t="shared" si="89"/>
        <v>481.32533727149359</v>
      </c>
      <c r="U431" s="15">
        <f t="shared" si="90"/>
        <v>3.3175612761835045</v>
      </c>
      <c r="V431" s="21">
        <v>0.443</v>
      </c>
      <c r="W431" s="20">
        <f t="shared" si="91"/>
        <v>10.029145771355715</v>
      </c>
      <c r="X431" s="20">
        <f t="shared" si="92"/>
        <v>31.74</v>
      </c>
      <c r="Y431" s="21">
        <f t="shared" si="93"/>
        <v>0.1445627558683524</v>
      </c>
      <c r="Z431" s="21">
        <f t="shared" si="94"/>
        <v>0.46599076212329882</v>
      </c>
      <c r="AA431" s="21">
        <f t="shared" si="95"/>
        <v>0.86827999999999994</v>
      </c>
      <c r="AB431" s="21">
        <f t="shared" si="96"/>
        <v>0.91334189376166564</v>
      </c>
    </row>
    <row r="432" spans="1:28" ht="16" customHeight="1" x14ac:dyDescent="0.2">
      <c r="A432" t="s">
        <v>498</v>
      </c>
      <c r="B432" t="s">
        <v>499</v>
      </c>
      <c r="C432" t="s">
        <v>906</v>
      </c>
      <c r="D432" t="s">
        <v>907</v>
      </c>
      <c r="E432" t="s">
        <v>502</v>
      </c>
      <c r="F432" t="s">
        <v>33</v>
      </c>
      <c r="G432" t="s">
        <v>503</v>
      </c>
      <c r="H432" s="15">
        <v>2.52</v>
      </c>
      <c r="I432" s="15">
        <f t="shared" si="99"/>
        <v>5.5985994592184563</v>
      </c>
      <c r="J432" s="17">
        <v>0.92600000000000005</v>
      </c>
      <c r="K432" s="17">
        <v>388000</v>
      </c>
      <c r="L432" s="11" t="s">
        <v>35</v>
      </c>
      <c r="M432" s="11" t="s">
        <v>35</v>
      </c>
      <c r="N432" s="14">
        <v>65</v>
      </c>
      <c r="O432" s="11">
        <v>249.87</v>
      </c>
      <c r="P432" s="13">
        <v>3.7690000000000001</v>
      </c>
      <c r="Q432" s="11">
        <f t="shared" si="86"/>
        <v>47.112500000000004</v>
      </c>
      <c r="R432" s="20">
        <f t="shared" si="87"/>
        <v>18.854804498339135</v>
      </c>
      <c r="S432" s="20">
        <f t="shared" si="88"/>
        <v>0.18854804498339134</v>
      </c>
      <c r="T432" s="15">
        <f t="shared" si="89"/>
        <v>0.4751410733581462</v>
      </c>
      <c r="U432" s="15">
        <f t="shared" si="90"/>
        <v>6.3231774255652651</v>
      </c>
      <c r="V432" s="21">
        <v>5.96E-2</v>
      </c>
      <c r="W432" s="20">
        <f t="shared" si="91"/>
        <v>12.308660122048288</v>
      </c>
      <c r="X432" s="20">
        <f t="shared" si="92"/>
        <v>31.74</v>
      </c>
      <c r="Y432" s="21">
        <f t="shared" si="93"/>
        <v>0.14784718079369674</v>
      </c>
      <c r="Z432" s="21">
        <f t="shared" si="94"/>
        <v>0.15940812046016994</v>
      </c>
      <c r="AA432" s="21">
        <f t="shared" si="95"/>
        <v>0.116816</v>
      </c>
      <c r="AB432" s="21">
        <f t="shared" si="96"/>
        <v>0.31243991610193306</v>
      </c>
    </row>
    <row r="433" spans="1:28" ht="16" customHeight="1" x14ac:dyDescent="0.2">
      <c r="A433" t="s">
        <v>498</v>
      </c>
      <c r="B433" t="s">
        <v>499</v>
      </c>
      <c r="C433" t="s">
        <v>908</v>
      </c>
      <c r="D433" t="s">
        <v>909</v>
      </c>
      <c r="E433" t="s">
        <v>502</v>
      </c>
      <c r="F433" t="s">
        <v>38</v>
      </c>
      <c r="G433" t="s">
        <v>503</v>
      </c>
      <c r="H433" s="15">
        <v>1950</v>
      </c>
      <c r="I433" s="15">
        <f t="shared" si="99"/>
        <v>2.7099653886374822</v>
      </c>
      <c r="J433" s="17">
        <v>1.35</v>
      </c>
      <c r="K433" s="17">
        <v>484000</v>
      </c>
      <c r="L433" s="11" t="s">
        <v>35</v>
      </c>
      <c r="M433" s="11" t="s">
        <v>81</v>
      </c>
      <c r="N433" s="14">
        <v>65</v>
      </c>
      <c r="O433" s="11">
        <v>249.8</v>
      </c>
      <c r="P433" s="23" t="s">
        <v>82</v>
      </c>
      <c r="Q433" s="11" t="str">
        <f t="shared" si="86"/>
        <v>-</v>
      </c>
      <c r="R433" s="24" t="str">
        <f t="shared" si="87"/>
        <v>-</v>
      </c>
      <c r="S433" s="20" t="str">
        <f t="shared" si="88"/>
        <v>-</v>
      </c>
      <c r="T433" s="15" t="str">
        <f t="shared" si="89"/>
        <v>-</v>
      </c>
      <c r="U433" s="15" t="str">
        <f t="shared" si="90"/>
        <v>-</v>
      </c>
      <c r="V433" s="21">
        <v>0.377</v>
      </c>
      <c r="W433" s="20" t="str">
        <f t="shared" si="91"/>
        <v>-</v>
      </c>
      <c r="X433" s="20" t="str">
        <f t="shared" si="92"/>
        <v>-</v>
      </c>
      <c r="Y433" s="21" t="str">
        <f t="shared" si="93"/>
        <v>-</v>
      </c>
      <c r="Z433" s="21" t="str">
        <f t="shared" si="94"/>
        <v>-</v>
      </c>
      <c r="AA433" s="21">
        <f t="shared" si="95"/>
        <v>0.73892000000000002</v>
      </c>
      <c r="AB433" s="21" t="str">
        <f t="shared" si="96"/>
        <v>-</v>
      </c>
    </row>
    <row r="434" spans="1:28" ht="16" customHeight="1" x14ac:dyDescent="0.2">
      <c r="A434" t="s">
        <v>498</v>
      </c>
      <c r="B434" t="s">
        <v>499</v>
      </c>
      <c r="C434" t="s">
        <v>910</v>
      </c>
      <c r="D434" t="s">
        <v>911</v>
      </c>
      <c r="E434" t="s">
        <v>502</v>
      </c>
      <c r="F434" t="s">
        <v>33</v>
      </c>
      <c r="G434" t="s">
        <v>503</v>
      </c>
      <c r="H434" s="15">
        <v>28.2</v>
      </c>
      <c r="I434" s="15">
        <f t="shared" si="99"/>
        <v>4.5497508916806391</v>
      </c>
      <c r="J434" s="17">
        <v>1.1599999999999999</v>
      </c>
      <c r="K434" s="17">
        <v>406000</v>
      </c>
      <c r="L434" s="11" t="s">
        <v>35</v>
      </c>
      <c r="M434" s="11" t="s">
        <v>35</v>
      </c>
      <c r="N434" s="14">
        <v>65</v>
      </c>
      <c r="O434" s="11">
        <v>250.55</v>
      </c>
      <c r="P434" s="13">
        <v>6.92</v>
      </c>
      <c r="Q434" s="11">
        <f t="shared" si="86"/>
        <v>86.5</v>
      </c>
      <c r="R434" s="20">
        <f t="shared" si="87"/>
        <v>34.524047096387946</v>
      </c>
      <c r="S434" s="20">
        <f t="shared" si="88"/>
        <v>0.34524047096387944</v>
      </c>
      <c r="T434" s="15">
        <f t="shared" si="89"/>
        <v>9.7357812811813993</v>
      </c>
      <c r="U434" s="15">
        <f t="shared" si="90"/>
        <v>5.0116291912943201</v>
      </c>
      <c r="V434" s="21">
        <v>0.123</v>
      </c>
      <c r="W434" s="20">
        <f t="shared" si="91"/>
        <v>7.0955491329479772</v>
      </c>
      <c r="X434" s="20">
        <f t="shared" si="92"/>
        <v>31.74</v>
      </c>
      <c r="Y434" s="21">
        <f t="shared" si="93"/>
        <v>0.14124752314280911</v>
      </c>
      <c r="Z434" s="21">
        <f t="shared" si="94"/>
        <v>0.18729619001458198</v>
      </c>
      <c r="AA434" s="21">
        <f t="shared" si="95"/>
        <v>0.24107999999999999</v>
      </c>
      <c r="AB434" s="21">
        <f t="shared" si="96"/>
        <v>0.36710053242858065</v>
      </c>
    </row>
    <row r="435" spans="1:28" ht="16" customHeight="1" x14ac:dyDescent="0.2">
      <c r="A435" t="s">
        <v>498</v>
      </c>
      <c r="B435" t="s">
        <v>499</v>
      </c>
      <c r="C435" t="s">
        <v>912</v>
      </c>
      <c r="D435" t="s">
        <v>913</v>
      </c>
      <c r="E435" t="s">
        <v>502</v>
      </c>
      <c r="F435" t="s">
        <v>38</v>
      </c>
      <c r="G435" t="s">
        <v>503</v>
      </c>
      <c r="H435" s="15">
        <v>330</v>
      </c>
      <c r="I435" s="15">
        <f t="shared" si="99"/>
        <v>3.4814860601221125</v>
      </c>
      <c r="J435" s="17">
        <v>1.24</v>
      </c>
      <c r="K435" s="17">
        <v>430000</v>
      </c>
      <c r="L435" s="11" t="s">
        <v>247</v>
      </c>
      <c r="M435" s="11" t="s">
        <v>247</v>
      </c>
      <c r="N435" s="14">
        <v>20</v>
      </c>
      <c r="O435" s="11">
        <v>499.52</v>
      </c>
      <c r="P435" s="13">
        <v>6.08</v>
      </c>
      <c r="Q435" s="11">
        <f t="shared" si="86"/>
        <v>76</v>
      </c>
      <c r="R435" s="20">
        <f t="shared" si="87"/>
        <v>15.214606021780911</v>
      </c>
      <c r="S435" s="20">
        <f t="shared" si="88"/>
        <v>0.1521460602178091</v>
      </c>
      <c r="T435" s="15">
        <f t="shared" si="89"/>
        <v>50.208199871877007</v>
      </c>
      <c r="U435" s="15">
        <f t="shared" si="90"/>
        <v>4.2992253492236445</v>
      </c>
      <c r="V435" s="21">
        <v>0.25600000000000001</v>
      </c>
      <c r="W435" s="20">
        <f t="shared" si="91"/>
        <v>7.9570394736842109</v>
      </c>
      <c r="X435" s="20">
        <f t="shared" si="92"/>
        <v>31.74</v>
      </c>
      <c r="Y435" s="21">
        <f t="shared" si="93"/>
        <v>0.14211068933748378</v>
      </c>
      <c r="Z435" s="21">
        <f t="shared" si="94"/>
        <v>0.2927993306412684</v>
      </c>
      <c r="AA435" s="21">
        <f t="shared" si="95"/>
        <v>0.50175999999999998</v>
      </c>
      <c r="AB435" s="21">
        <f t="shared" si="96"/>
        <v>0.57388668805688603</v>
      </c>
    </row>
    <row r="436" spans="1:28" ht="16" customHeight="1" x14ac:dyDescent="0.2">
      <c r="A436" t="s">
        <v>498</v>
      </c>
      <c r="B436" t="s">
        <v>499</v>
      </c>
      <c r="C436" t="s">
        <v>914</v>
      </c>
      <c r="D436" t="s">
        <v>915</v>
      </c>
      <c r="E436" t="s">
        <v>502</v>
      </c>
      <c r="F436" t="s">
        <v>33</v>
      </c>
      <c r="G436" t="s">
        <v>503</v>
      </c>
      <c r="H436" s="15">
        <v>9.8800000000000008</v>
      </c>
      <c r="I436" s="15">
        <f t="shared" si="99"/>
        <v>5.0052430554123717</v>
      </c>
      <c r="J436" s="17">
        <v>0.67300000000000004</v>
      </c>
      <c r="K436" s="17">
        <v>267000</v>
      </c>
      <c r="L436" s="11" t="s">
        <v>247</v>
      </c>
      <c r="M436" s="11" t="s">
        <v>247</v>
      </c>
      <c r="N436" s="14">
        <v>20</v>
      </c>
      <c r="O436" s="11">
        <v>500.04</v>
      </c>
      <c r="P436" s="13">
        <v>14.87</v>
      </c>
      <c r="Q436" s="11">
        <f t="shared" si="86"/>
        <v>185.875</v>
      </c>
      <c r="R436" s="20">
        <f t="shared" si="87"/>
        <v>37.172026237900965</v>
      </c>
      <c r="S436" s="20">
        <f t="shared" si="88"/>
        <v>0.37172026237900968</v>
      </c>
      <c r="T436" s="15">
        <f t="shared" si="89"/>
        <v>3.6725961923046158</v>
      </c>
      <c r="U436" s="15">
        <f t="shared" si="90"/>
        <v>5.4350268203872645</v>
      </c>
      <c r="V436" s="21">
        <v>8.7400000000000005E-2</v>
      </c>
      <c r="W436" s="20">
        <f t="shared" si="91"/>
        <v>3.7618157363819771</v>
      </c>
      <c r="X436" s="20">
        <f t="shared" si="92"/>
        <v>31.74</v>
      </c>
      <c r="Y436" s="21">
        <f t="shared" si="93"/>
        <v>0.13880984185915177</v>
      </c>
      <c r="Z436" s="21">
        <f t="shared" si="94"/>
        <v>0.16403332648264718</v>
      </c>
      <c r="AA436" s="21">
        <f t="shared" si="95"/>
        <v>0.17130400000000001</v>
      </c>
      <c r="AB436" s="21">
        <f t="shared" si="96"/>
        <v>0.32150531990598846</v>
      </c>
    </row>
    <row r="437" spans="1:28" ht="16" customHeight="1" x14ac:dyDescent="0.2">
      <c r="A437" t="s">
        <v>498</v>
      </c>
      <c r="B437" t="s">
        <v>499</v>
      </c>
      <c r="C437" t="s">
        <v>916</v>
      </c>
      <c r="D437" t="s">
        <v>917</v>
      </c>
      <c r="E437" t="s">
        <v>502</v>
      </c>
      <c r="F437" t="s">
        <v>38</v>
      </c>
      <c r="G437" t="s">
        <v>503</v>
      </c>
      <c r="H437" s="15">
        <v>6780</v>
      </c>
      <c r="I437" s="15">
        <f t="shared" si="99"/>
        <v>2.1687703061329366</v>
      </c>
      <c r="J437" s="17">
        <v>1.29</v>
      </c>
      <c r="K437" s="17">
        <v>464000</v>
      </c>
      <c r="L437" s="11" t="s">
        <v>35</v>
      </c>
      <c r="M437" s="11" t="s">
        <v>81</v>
      </c>
      <c r="N437" s="14">
        <v>65</v>
      </c>
      <c r="O437" s="11">
        <v>249.6</v>
      </c>
      <c r="P437" s="23" t="s">
        <v>82</v>
      </c>
      <c r="Q437" s="11" t="str">
        <f t="shared" si="86"/>
        <v>-</v>
      </c>
      <c r="R437" s="24" t="str">
        <f t="shared" si="87"/>
        <v>-</v>
      </c>
      <c r="S437" s="20" t="str">
        <f t="shared" si="88"/>
        <v>-</v>
      </c>
      <c r="T437" s="15" t="str">
        <f t="shared" si="89"/>
        <v>-</v>
      </c>
      <c r="U437" s="15" t="str">
        <f t="shared" si="90"/>
        <v>-</v>
      </c>
      <c r="V437" s="21">
        <v>0.67300000000000004</v>
      </c>
      <c r="W437" s="20" t="str">
        <f t="shared" si="91"/>
        <v>-</v>
      </c>
      <c r="X437" s="20" t="str">
        <f t="shared" si="92"/>
        <v>-</v>
      </c>
      <c r="Y437" s="21" t="str">
        <f t="shared" si="93"/>
        <v>-</v>
      </c>
      <c r="Z437" s="21" t="str">
        <f t="shared" si="94"/>
        <v>-</v>
      </c>
      <c r="AA437" s="21">
        <f t="shared" si="95"/>
        <v>1.31908</v>
      </c>
      <c r="AB437" s="21" t="str">
        <f t="shared" si="96"/>
        <v>-</v>
      </c>
    </row>
    <row r="438" spans="1:28" ht="16" customHeight="1" x14ac:dyDescent="0.2">
      <c r="A438" t="s">
        <v>498</v>
      </c>
      <c r="B438" t="s">
        <v>499</v>
      </c>
      <c r="C438" t="s">
        <v>918</v>
      </c>
      <c r="D438" t="s">
        <v>919</v>
      </c>
      <c r="E438" t="s">
        <v>502</v>
      </c>
      <c r="F438" t="s">
        <v>38</v>
      </c>
      <c r="G438" t="s">
        <v>503</v>
      </c>
      <c r="H438" s="15">
        <v>7180</v>
      </c>
      <c r="I438" s="15">
        <f t="shared" si="99"/>
        <v>2.1438755557576998</v>
      </c>
      <c r="J438" s="17">
        <v>1.31</v>
      </c>
      <c r="K438" s="17">
        <v>471000</v>
      </c>
      <c r="L438" s="11" t="s">
        <v>35</v>
      </c>
      <c r="M438" s="11" t="s">
        <v>35</v>
      </c>
      <c r="N438" s="14">
        <v>65</v>
      </c>
      <c r="O438" s="11">
        <v>249.56</v>
      </c>
      <c r="P438" s="13">
        <v>12.797000000000001</v>
      </c>
      <c r="Q438" s="11">
        <f t="shared" si="86"/>
        <v>159.96250000000001</v>
      </c>
      <c r="R438" s="20">
        <f t="shared" si="87"/>
        <v>64.097812149382918</v>
      </c>
      <c r="S438" s="20">
        <f t="shared" si="88"/>
        <v>0.64097812149382916</v>
      </c>
      <c r="T438" s="15">
        <f t="shared" si="89"/>
        <v>4602.222912325693</v>
      </c>
      <c r="U438" s="15">
        <f t="shared" si="90"/>
        <v>2.337032349759415</v>
      </c>
      <c r="V438" s="21">
        <v>0.627</v>
      </c>
      <c r="W438" s="20">
        <f t="shared" si="91"/>
        <v>4.2318840353207783</v>
      </c>
      <c r="X438" s="20">
        <f t="shared" si="92"/>
        <v>31.74</v>
      </c>
      <c r="Y438" s="21">
        <f t="shared" si="93"/>
        <v>0.13906489363803817</v>
      </c>
      <c r="Z438" s="21">
        <f t="shared" si="94"/>
        <v>0.64223675123941548</v>
      </c>
      <c r="AA438" s="21">
        <f t="shared" si="95"/>
        <v>1.22892</v>
      </c>
      <c r="AB438" s="21">
        <f t="shared" si="96"/>
        <v>1.2587840324292543</v>
      </c>
    </row>
    <row r="439" spans="1:28" ht="16" customHeight="1" x14ac:dyDescent="0.2">
      <c r="A439" t="s">
        <v>498</v>
      </c>
      <c r="B439" t="s">
        <v>499</v>
      </c>
      <c r="C439" t="s">
        <v>920</v>
      </c>
      <c r="D439" t="s">
        <v>921</v>
      </c>
      <c r="E439" t="s">
        <v>502</v>
      </c>
      <c r="F439" t="s">
        <v>33</v>
      </c>
      <c r="G439" t="s">
        <v>503</v>
      </c>
      <c r="H439" s="15">
        <v>3.13</v>
      </c>
      <c r="I439" s="15">
        <f t="shared" si="99"/>
        <v>5.5044556624535517</v>
      </c>
      <c r="J439" s="17">
        <v>0.77200000000000002</v>
      </c>
      <c r="K439" s="17">
        <v>338000</v>
      </c>
      <c r="L439" s="11" t="s">
        <v>247</v>
      </c>
      <c r="M439" s="11" t="s">
        <v>247</v>
      </c>
      <c r="N439" s="14">
        <v>20</v>
      </c>
      <c r="O439" s="11">
        <v>499.64</v>
      </c>
      <c r="P439" s="13">
        <v>20.55</v>
      </c>
      <c r="Q439" s="11">
        <f t="shared" si="86"/>
        <v>256.875</v>
      </c>
      <c r="R439" s="20">
        <f t="shared" si="87"/>
        <v>51.412016651989433</v>
      </c>
      <c r="S439" s="20">
        <f t="shared" si="88"/>
        <v>0.51412016651989434</v>
      </c>
      <c r="T439" s="15">
        <f t="shared" si="89"/>
        <v>1.6091961212072692</v>
      </c>
      <c r="U439" s="15">
        <f t="shared" si="90"/>
        <v>5.7933910229192636</v>
      </c>
      <c r="V439" s="21">
        <v>5.7200000000000001E-2</v>
      </c>
      <c r="W439" s="20">
        <f t="shared" si="91"/>
        <v>2.9597566909975668</v>
      </c>
      <c r="X439" s="20">
        <f t="shared" si="92"/>
        <v>31.74</v>
      </c>
      <c r="Y439" s="21">
        <f t="shared" si="93"/>
        <v>0.13844309221978929</v>
      </c>
      <c r="Z439" s="21">
        <f t="shared" si="94"/>
        <v>0.14979429155804663</v>
      </c>
      <c r="AA439" s="21">
        <f t="shared" si="95"/>
        <v>0.112112</v>
      </c>
      <c r="AB439" s="21">
        <f t="shared" si="96"/>
        <v>0.29359681145377142</v>
      </c>
    </row>
    <row r="440" spans="1:28" ht="16" customHeight="1" x14ac:dyDescent="0.2">
      <c r="A440" t="s">
        <v>498</v>
      </c>
      <c r="B440" t="s">
        <v>499</v>
      </c>
      <c r="C440" t="s">
        <v>922</v>
      </c>
      <c r="D440" t="s">
        <v>923</v>
      </c>
      <c r="E440" t="s">
        <v>502</v>
      </c>
      <c r="F440" t="s">
        <v>33</v>
      </c>
      <c r="G440" t="s">
        <v>503</v>
      </c>
      <c r="H440" s="15">
        <v>17.3</v>
      </c>
      <c r="I440" s="15">
        <f t="shared" si="99"/>
        <v>4.761953896871205</v>
      </c>
      <c r="J440" s="17">
        <v>0.67800000000000005</v>
      </c>
      <c r="K440" s="17">
        <v>268000</v>
      </c>
      <c r="L440" s="11" t="s">
        <v>247</v>
      </c>
      <c r="M440" s="11" t="s">
        <v>247</v>
      </c>
      <c r="N440" s="14">
        <v>20</v>
      </c>
      <c r="O440" s="11">
        <v>499.3</v>
      </c>
      <c r="P440" s="13">
        <v>9.74</v>
      </c>
      <c r="Q440" s="11">
        <f t="shared" si="86"/>
        <v>121.75</v>
      </c>
      <c r="R440" s="20">
        <f t="shared" si="87"/>
        <v>24.384137792910074</v>
      </c>
      <c r="S440" s="20">
        <f t="shared" si="88"/>
        <v>0.24384137792910074</v>
      </c>
      <c r="T440" s="15">
        <f t="shared" si="89"/>
        <v>4.2184558381734432</v>
      </c>
      <c r="U440" s="15">
        <f t="shared" si="90"/>
        <v>5.3748464930396427</v>
      </c>
      <c r="V440" s="21">
        <v>0.17899999999999999</v>
      </c>
      <c r="W440" s="20">
        <f t="shared" si="91"/>
        <v>5.2901848049281313</v>
      </c>
      <c r="X440" s="20">
        <f t="shared" si="92"/>
        <v>31.74</v>
      </c>
      <c r="Y440" s="21">
        <f t="shared" si="93"/>
        <v>0.13974660161504035</v>
      </c>
      <c r="Z440" s="21">
        <f t="shared" si="94"/>
        <v>0.22709053847078878</v>
      </c>
      <c r="AA440" s="21">
        <f t="shared" si="95"/>
        <v>0.35083999999999999</v>
      </c>
      <c r="AB440" s="21">
        <f t="shared" si="96"/>
        <v>0.44509745540274598</v>
      </c>
    </row>
    <row r="441" spans="1:28" ht="16" customHeight="1" x14ac:dyDescent="0.2">
      <c r="A441" t="s">
        <v>498</v>
      </c>
      <c r="B441" t="s">
        <v>499</v>
      </c>
      <c r="C441" t="s">
        <v>924</v>
      </c>
      <c r="D441" t="s">
        <v>925</v>
      </c>
      <c r="E441" t="s">
        <v>502</v>
      </c>
      <c r="F441" t="s">
        <v>38</v>
      </c>
      <c r="G441" t="s">
        <v>503</v>
      </c>
      <c r="H441" s="15">
        <v>259</v>
      </c>
      <c r="I441" s="15">
        <f t="shared" si="99"/>
        <v>3.5867002359187481</v>
      </c>
      <c r="J441" s="17">
        <v>1.0900000000000001</v>
      </c>
      <c r="K441" s="17">
        <v>387000</v>
      </c>
      <c r="L441" s="11" t="s">
        <v>35</v>
      </c>
      <c r="M441" s="11" t="s">
        <v>81</v>
      </c>
      <c r="N441" s="14">
        <v>65</v>
      </c>
      <c r="O441" s="11">
        <v>250.04</v>
      </c>
      <c r="P441" s="23" t="s">
        <v>82</v>
      </c>
      <c r="Q441" s="11" t="str">
        <f t="shared" si="86"/>
        <v>-</v>
      </c>
      <c r="R441" s="24" t="str">
        <f t="shared" si="87"/>
        <v>-</v>
      </c>
      <c r="S441" s="20" t="str">
        <f t="shared" si="88"/>
        <v>-</v>
      </c>
      <c r="T441" s="15" t="str">
        <f t="shared" si="89"/>
        <v>-</v>
      </c>
      <c r="U441" s="15" t="str">
        <f t="shared" si="90"/>
        <v>-</v>
      </c>
      <c r="V441" s="21">
        <v>0.29799999999999999</v>
      </c>
      <c r="W441" s="20" t="str">
        <f t="shared" si="91"/>
        <v>-</v>
      </c>
      <c r="X441" s="20" t="str">
        <f t="shared" si="92"/>
        <v>-</v>
      </c>
      <c r="Y441" s="21" t="str">
        <f t="shared" si="93"/>
        <v>-</v>
      </c>
      <c r="Z441" s="21" t="str">
        <f t="shared" si="94"/>
        <v>-</v>
      </c>
      <c r="AA441" s="21">
        <f t="shared" si="95"/>
        <v>0.58407999999999993</v>
      </c>
      <c r="AB441" s="21" t="str">
        <f t="shared" si="96"/>
        <v>-</v>
      </c>
    </row>
    <row r="442" spans="1:28" ht="16" customHeight="1" x14ac:dyDescent="0.2">
      <c r="A442" t="s">
        <v>498</v>
      </c>
      <c r="B442" t="s">
        <v>499</v>
      </c>
      <c r="C442" t="s">
        <v>926</v>
      </c>
      <c r="D442" t="s">
        <v>927</v>
      </c>
      <c r="E442" t="s">
        <v>502</v>
      </c>
      <c r="F442" t="s">
        <v>38</v>
      </c>
      <c r="G442" t="s">
        <v>503</v>
      </c>
      <c r="H442" s="15">
        <v>13.9</v>
      </c>
      <c r="I442" s="15">
        <f t="shared" si="99"/>
        <v>4.856985199745905</v>
      </c>
      <c r="J442" s="17">
        <v>0.74299999999999999</v>
      </c>
      <c r="K442" s="17">
        <v>300000</v>
      </c>
      <c r="L442" s="11" t="s">
        <v>35</v>
      </c>
      <c r="M442" s="11" t="s">
        <v>35</v>
      </c>
      <c r="N442" s="14">
        <v>65</v>
      </c>
      <c r="O442" s="11">
        <v>250.02</v>
      </c>
      <c r="P442" s="13">
        <v>20.099</v>
      </c>
      <c r="Q442" s="11">
        <f t="shared" si="86"/>
        <v>251.23750000000001</v>
      </c>
      <c r="R442" s="20">
        <f t="shared" si="87"/>
        <v>100.48696104311654</v>
      </c>
      <c r="S442" s="20">
        <f t="shared" si="88"/>
        <v>1.0048696104311654</v>
      </c>
      <c r="T442" s="15">
        <f t="shared" si="89"/>
        <v>13.9676875849932</v>
      </c>
      <c r="U442" s="15">
        <f t="shared" si="90"/>
        <v>4.8548754873864208</v>
      </c>
      <c r="V442" s="21">
        <v>0.25</v>
      </c>
      <c r="W442" s="20">
        <f t="shared" si="91"/>
        <v>3.0068729787551618</v>
      </c>
      <c r="X442" s="20">
        <f t="shared" si="92"/>
        <v>31.74</v>
      </c>
      <c r="Y442" s="21">
        <f t="shared" si="93"/>
        <v>0.13846224083849346</v>
      </c>
      <c r="Z442" s="21">
        <f t="shared" si="94"/>
        <v>0.28578277089078857</v>
      </c>
      <c r="AA442" s="21">
        <f t="shared" si="95"/>
        <v>0.49</v>
      </c>
      <c r="AB442" s="21">
        <f t="shared" si="96"/>
        <v>0.56013423094594561</v>
      </c>
    </row>
    <row r="443" spans="1:28" ht="16" customHeight="1" x14ac:dyDescent="0.2">
      <c r="A443" t="s">
        <v>498</v>
      </c>
      <c r="B443" t="s">
        <v>499</v>
      </c>
      <c r="C443" t="s">
        <v>928</v>
      </c>
      <c r="D443" t="s">
        <v>929</v>
      </c>
      <c r="E443" t="s">
        <v>502</v>
      </c>
      <c r="F443" t="s">
        <v>38</v>
      </c>
      <c r="G443" t="s">
        <v>503</v>
      </c>
      <c r="H443" s="15">
        <v>81.8</v>
      </c>
      <c r="I443" s="15">
        <f t="shared" si="99"/>
        <v>4.0872466963286769</v>
      </c>
      <c r="J443" s="17">
        <v>1.37</v>
      </c>
      <c r="K443" s="17">
        <v>488000</v>
      </c>
      <c r="L443" s="11" t="s">
        <v>35</v>
      </c>
      <c r="M443" s="11" t="s">
        <v>81</v>
      </c>
      <c r="N443" s="14">
        <v>65</v>
      </c>
      <c r="O443" s="11">
        <v>250.31</v>
      </c>
      <c r="P443" s="23" t="s">
        <v>82</v>
      </c>
      <c r="Q443" s="11" t="str">
        <f t="shared" si="86"/>
        <v>-</v>
      </c>
      <c r="R443" s="24" t="str">
        <f t="shared" si="87"/>
        <v>-</v>
      </c>
      <c r="S443" s="20" t="str">
        <f t="shared" si="88"/>
        <v>-</v>
      </c>
      <c r="T443" s="15" t="str">
        <f t="shared" si="89"/>
        <v>-</v>
      </c>
      <c r="U443" s="15" t="str">
        <f t="shared" si="90"/>
        <v>-</v>
      </c>
      <c r="V443" s="21">
        <v>0.125</v>
      </c>
      <c r="W443" s="20" t="str">
        <f t="shared" si="91"/>
        <v>-</v>
      </c>
      <c r="X443" s="20" t="str">
        <f t="shared" si="92"/>
        <v>-</v>
      </c>
      <c r="Y443" s="21" t="str">
        <f t="shared" si="93"/>
        <v>-</v>
      </c>
      <c r="Z443" s="21" t="str">
        <f t="shared" si="94"/>
        <v>-</v>
      </c>
      <c r="AA443" s="21">
        <f t="shared" si="95"/>
        <v>0.245</v>
      </c>
      <c r="AB443" s="21" t="str">
        <f t="shared" si="96"/>
        <v>-</v>
      </c>
    </row>
    <row r="444" spans="1:28" ht="16" customHeight="1" x14ac:dyDescent="0.2">
      <c r="A444" t="s">
        <v>498</v>
      </c>
      <c r="B444" t="s">
        <v>499</v>
      </c>
      <c r="C444" t="s">
        <v>930</v>
      </c>
      <c r="D444" t="s">
        <v>931</v>
      </c>
      <c r="E444" t="s">
        <v>502</v>
      </c>
      <c r="F444" t="s">
        <v>38</v>
      </c>
      <c r="G444" t="s">
        <v>503</v>
      </c>
      <c r="H444" s="15">
        <v>3.12</v>
      </c>
      <c r="I444" s="15">
        <f t="shared" si="99"/>
        <v>5.5058454059815576</v>
      </c>
      <c r="J444" s="17">
        <v>1.37</v>
      </c>
      <c r="K444" s="17">
        <v>533000</v>
      </c>
      <c r="L444" s="11" t="s">
        <v>35</v>
      </c>
      <c r="M444" s="11" t="s">
        <v>35</v>
      </c>
      <c r="N444" s="14">
        <v>65</v>
      </c>
      <c r="O444" s="11">
        <v>249.97</v>
      </c>
      <c r="P444" s="13">
        <v>23.38</v>
      </c>
      <c r="Q444" s="11">
        <f t="shared" si="86"/>
        <v>292.25</v>
      </c>
      <c r="R444" s="20">
        <f t="shared" si="87"/>
        <v>116.91402968356203</v>
      </c>
      <c r="S444" s="20">
        <f t="shared" si="88"/>
        <v>1.1691402968356204</v>
      </c>
      <c r="T444" s="15">
        <f t="shared" si="89"/>
        <v>3.6477177261271359</v>
      </c>
      <c r="U444" s="15">
        <f t="shared" si="90"/>
        <v>5.4379787763547185</v>
      </c>
      <c r="V444" s="21">
        <v>0.13400000000000001</v>
      </c>
      <c r="W444" s="20">
        <f t="shared" si="91"/>
        <v>2.7055945252352438</v>
      </c>
      <c r="X444" s="20">
        <f t="shared" si="92"/>
        <v>31.74</v>
      </c>
      <c r="Y444" s="21">
        <f t="shared" si="93"/>
        <v>0.13834497188857559</v>
      </c>
      <c r="Z444" s="21">
        <f t="shared" si="94"/>
        <v>0.19260148298196142</v>
      </c>
      <c r="AA444" s="21">
        <f t="shared" si="95"/>
        <v>0.26263999999999998</v>
      </c>
      <c r="AB444" s="21">
        <f t="shared" si="96"/>
        <v>0.37749890664464436</v>
      </c>
    </row>
    <row r="445" spans="1:28" ht="16" customHeight="1" x14ac:dyDescent="0.2">
      <c r="A445" t="s">
        <v>498</v>
      </c>
      <c r="B445" t="s">
        <v>499</v>
      </c>
      <c r="C445" t="s">
        <v>932</v>
      </c>
      <c r="D445" t="s">
        <v>933</v>
      </c>
      <c r="E445" t="s">
        <v>502</v>
      </c>
      <c r="F445" t="s">
        <v>38</v>
      </c>
      <c r="G445" t="s">
        <v>503</v>
      </c>
      <c r="H445" s="15">
        <v>12200</v>
      </c>
      <c r="I445" s="15">
        <f t="shared" si="99"/>
        <v>1.9136401693252518</v>
      </c>
      <c r="J445" s="17">
        <v>1.25</v>
      </c>
      <c r="K445" s="17">
        <v>433000</v>
      </c>
      <c r="L445" s="11" t="s">
        <v>35</v>
      </c>
      <c r="M445" s="11" t="s">
        <v>81</v>
      </c>
      <c r="N445" s="14">
        <v>65</v>
      </c>
      <c r="O445" s="11">
        <v>249.52</v>
      </c>
      <c r="P445" s="23" t="s">
        <v>82</v>
      </c>
      <c r="Q445" s="11" t="str">
        <f t="shared" si="86"/>
        <v>-</v>
      </c>
      <c r="R445" s="24" t="str">
        <f t="shared" si="87"/>
        <v>-</v>
      </c>
      <c r="S445" s="20" t="str">
        <f t="shared" si="88"/>
        <v>-</v>
      </c>
      <c r="T445" s="15" t="str">
        <f t="shared" si="89"/>
        <v>-</v>
      </c>
      <c r="U445" s="15" t="str">
        <f t="shared" si="90"/>
        <v>-</v>
      </c>
      <c r="V445" s="21">
        <v>0.60199999999999998</v>
      </c>
      <c r="W445" s="20" t="str">
        <f t="shared" si="91"/>
        <v>-</v>
      </c>
      <c r="X445" s="20" t="str">
        <f t="shared" si="92"/>
        <v>-</v>
      </c>
      <c r="Y445" s="21" t="str">
        <f t="shared" si="93"/>
        <v>-</v>
      </c>
      <c r="Z445" s="21" t="str">
        <f t="shared" si="94"/>
        <v>-</v>
      </c>
      <c r="AA445" s="21">
        <f t="shared" si="95"/>
        <v>1.1799199999999999</v>
      </c>
      <c r="AB445" s="21" t="str">
        <f t="shared" si="96"/>
        <v>-</v>
      </c>
    </row>
    <row r="446" spans="1:28" ht="16" customHeight="1" x14ac:dyDescent="0.2">
      <c r="A446" t="s">
        <v>498</v>
      </c>
      <c r="B446" t="s">
        <v>499</v>
      </c>
      <c r="C446" t="s">
        <v>934</v>
      </c>
      <c r="D446" t="s">
        <v>935</v>
      </c>
      <c r="E446" t="s">
        <v>502</v>
      </c>
      <c r="F446" t="s">
        <v>38</v>
      </c>
      <c r="G446" t="s">
        <v>503</v>
      </c>
      <c r="H446" s="15">
        <v>818</v>
      </c>
      <c r="I446" s="15">
        <f t="shared" si="99"/>
        <v>3.0872466963286769</v>
      </c>
      <c r="J446" s="17">
        <v>1.63</v>
      </c>
      <c r="K446" s="17">
        <v>567000</v>
      </c>
      <c r="L446" s="11" t="s">
        <v>35</v>
      </c>
      <c r="M446" s="11" t="s">
        <v>35</v>
      </c>
      <c r="N446" s="14">
        <v>65</v>
      </c>
      <c r="O446" s="11">
        <v>249.7</v>
      </c>
      <c r="P446" s="13">
        <v>24.797000000000001</v>
      </c>
      <c r="Q446" s="11">
        <f t="shared" si="86"/>
        <v>309.96250000000003</v>
      </c>
      <c r="R446" s="20">
        <f t="shared" si="87"/>
        <v>124.1339607529035</v>
      </c>
      <c r="S446" s="20">
        <f t="shared" si="88"/>
        <v>1.241339607529035</v>
      </c>
      <c r="T446" s="15">
        <f t="shared" si="89"/>
        <v>1015.4157989587507</v>
      </c>
      <c r="U446" s="15">
        <f t="shared" si="90"/>
        <v>2.9933560836463768</v>
      </c>
      <c r="V446" s="21">
        <v>0.20499999999999999</v>
      </c>
      <c r="W446" s="20">
        <f t="shared" si="91"/>
        <v>2.6001298544178728</v>
      </c>
      <c r="X446" s="20">
        <f t="shared" si="92"/>
        <v>31.74</v>
      </c>
      <c r="Y446" s="21">
        <f t="shared" si="93"/>
        <v>0.13830682256708784</v>
      </c>
      <c r="Z446" s="21">
        <f t="shared" si="94"/>
        <v>0.24729289752963773</v>
      </c>
      <c r="AA446" s="21">
        <f t="shared" si="95"/>
        <v>0.40179999999999999</v>
      </c>
      <c r="AB446" s="21">
        <f t="shared" si="96"/>
        <v>0.48469407915808993</v>
      </c>
    </row>
    <row r="447" spans="1:28" ht="16" customHeight="1" x14ac:dyDescent="0.2">
      <c r="A447" t="s">
        <v>498</v>
      </c>
      <c r="B447" t="s">
        <v>499</v>
      </c>
      <c r="C447" t="s">
        <v>936</v>
      </c>
      <c r="D447" t="s">
        <v>937</v>
      </c>
      <c r="E447" t="s">
        <v>502</v>
      </c>
      <c r="F447" t="s">
        <v>33</v>
      </c>
      <c r="G447" t="s">
        <v>503</v>
      </c>
      <c r="H447" s="15">
        <v>7.53</v>
      </c>
      <c r="I447" s="15">
        <f t="shared" si="99"/>
        <v>5.123205023799299</v>
      </c>
      <c r="J447" s="17">
        <v>0.59</v>
      </c>
      <c r="K447" s="17">
        <v>278000</v>
      </c>
      <c r="L447" s="11" t="s">
        <v>247</v>
      </c>
      <c r="M447" s="11" t="s">
        <v>247</v>
      </c>
      <c r="N447" s="14">
        <v>20</v>
      </c>
      <c r="O447" s="11">
        <v>499.18</v>
      </c>
      <c r="P447" s="13">
        <v>17.13</v>
      </c>
      <c r="Q447" s="11">
        <f t="shared" si="86"/>
        <v>214.125</v>
      </c>
      <c r="R447" s="20">
        <f t="shared" si="87"/>
        <v>42.895348371328978</v>
      </c>
      <c r="S447" s="20">
        <f t="shared" si="88"/>
        <v>0.42895348371328978</v>
      </c>
      <c r="T447" s="15">
        <f t="shared" si="89"/>
        <v>3.2300197323610722</v>
      </c>
      <c r="U447" s="15">
        <f t="shared" si="90"/>
        <v>5.490794824532875</v>
      </c>
      <c r="V447" s="21">
        <v>0.10199999999999999</v>
      </c>
      <c r="W447" s="20">
        <f t="shared" si="91"/>
        <v>3.3789725627553997</v>
      </c>
      <c r="X447" s="20">
        <f t="shared" si="92"/>
        <v>31.74</v>
      </c>
      <c r="Y447" s="21">
        <f t="shared" si="93"/>
        <v>0.13862398599261538</v>
      </c>
      <c r="Z447" s="21">
        <f t="shared" si="94"/>
        <v>0.172106390039652</v>
      </c>
      <c r="AA447" s="21">
        <f t="shared" si="95"/>
        <v>0.19991999999999999</v>
      </c>
      <c r="AB447" s="21">
        <f t="shared" si="96"/>
        <v>0.33732852447771794</v>
      </c>
    </row>
    <row r="448" spans="1:28" ht="16" customHeight="1" x14ac:dyDescent="0.2">
      <c r="A448" t="s">
        <v>498</v>
      </c>
      <c r="B448" t="s">
        <v>499</v>
      </c>
      <c r="C448" t="s">
        <v>938</v>
      </c>
      <c r="D448" t="s">
        <v>939</v>
      </c>
      <c r="E448" t="s">
        <v>502</v>
      </c>
      <c r="F448" t="s">
        <v>38</v>
      </c>
      <c r="G448" t="s">
        <v>503</v>
      </c>
      <c r="H448" s="15">
        <v>3.01</v>
      </c>
      <c r="I448" s="15">
        <f t="shared" si="99"/>
        <v>5.5214335044061569</v>
      </c>
      <c r="J448" s="17">
        <v>0.59899999999999998</v>
      </c>
      <c r="K448" s="17">
        <v>245000</v>
      </c>
      <c r="L448" s="11" t="s">
        <v>35</v>
      </c>
      <c r="M448" s="11" t="s">
        <v>35</v>
      </c>
      <c r="N448" s="14">
        <v>65</v>
      </c>
      <c r="O448" s="11">
        <v>249.3</v>
      </c>
      <c r="P448" s="13">
        <v>16.565000000000001</v>
      </c>
      <c r="Q448" s="11">
        <f t="shared" si="86"/>
        <v>207.06250000000003</v>
      </c>
      <c r="R448" s="20">
        <f t="shared" si="87"/>
        <v>83.057561171279588</v>
      </c>
      <c r="S448" s="20">
        <f t="shared" si="88"/>
        <v>0.83057561171279592</v>
      </c>
      <c r="T448" s="15">
        <f t="shared" si="89"/>
        <v>2.5000325912555157</v>
      </c>
      <c r="U448" s="15">
        <f t="shared" si="90"/>
        <v>5.6020543296838952</v>
      </c>
      <c r="V448" s="21">
        <v>8.1900000000000001E-2</v>
      </c>
      <c r="W448" s="20">
        <f t="shared" si="91"/>
        <v>3.4648898279504978</v>
      </c>
      <c r="X448" s="20">
        <f t="shared" si="92"/>
        <v>31.74</v>
      </c>
      <c r="Y448" s="21">
        <f t="shared" si="93"/>
        <v>0.13866398224593182</v>
      </c>
      <c r="Z448" s="21">
        <f t="shared" si="94"/>
        <v>0.16104443477593411</v>
      </c>
      <c r="AA448" s="21">
        <f t="shared" si="95"/>
        <v>0.160524</v>
      </c>
      <c r="AB448" s="21">
        <f t="shared" si="96"/>
        <v>0.31564709216083087</v>
      </c>
    </row>
    <row r="449" spans="1:28" ht="16" customHeight="1" x14ac:dyDescent="0.2">
      <c r="A449" t="s">
        <v>498</v>
      </c>
      <c r="B449" t="s">
        <v>499</v>
      </c>
      <c r="C449" t="s">
        <v>940</v>
      </c>
      <c r="D449" t="s">
        <v>941</v>
      </c>
      <c r="E449" t="s">
        <v>502</v>
      </c>
      <c r="F449" t="s">
        <v>38</v>
      </c>
      <c r="G449" t="s">
        <v>503</v>
      </c>
      <c r="H449" s="15">
        <v>1220</v>
      </c>
      <c r="I449" s="15">
        <f t="shared" si="99"/>
        <v>2.9136401693252516</v>
      </c>
      <c r="J449" s="17">
        <v>1.4</v>
      </c>
      <c r="K449" s="17">
        <v>476000</v>
      </c>
      <c r="L449" s="11" t="s">
        <v>35</v>
      </c>
      <c r="M449" s="11" t="s">
        <v>81</v>
      </c>
      <c r="N449" s="14">
        <v>65</v>
      </c>
      <c r="O449" s="11">
        <v>250.51</v>
      </c>
      <c r="P449" s="23" t="s">
        <v>82</v>
      </c>
      <c r="Q449" s="11" t="str">
        <f t="shared" si="86"/>
        <v>-</v>
      </c>
      <c r="R449" s="24" t="str">
        <f t="shared" si="87"/>
        <v>-</v>
      </c>
      <c r="S449" s="20" t="str">
        <f t="shared" si="88"/>
        <v>-</v>
      </c>
      <c r="T449" s="15" t="str">
        <f t="shared" si="89"/>
        <v>-</v>
      </c>
      <c r="U449" s="15" t="str">
        <f t="shared" si="90"/>
        <v>-</v>
      </c>
      <c r="V449" s="21">
        <v>0.29499999999999998</v>
      </c>
      <c r="W449" s="20" t="str">
        <f t="shared" si="91"/>
        <v>-</v>
      </c>
      <c r="X449" s="20" t="str">
        <f t="shared" si="92"/>
        <v>-</v>
      </c>
      <c r="Y449" s="21" t="str">
        <f t="shared" si="93"/>
        <v>-</v>
      </c>
      <c r="Z449" s="21" t="str">
        <f t="shared" si="94"/>
        <v>-</v>
      </c>
      <c r="AA449" s="21">
        <f t="shared" si="95"/>
        <v>0.57819999999999994</v>
      </c>
      <c r="AB449" s="21" t="str">
        <f t="shared" si="96"/>
        <v>-</v>
      </c>
    </row>
    <row r="450" spans="1:28" ht="16" customHeight="1" x14ac:dyDescent="0.2">
      <c r="A450" t="s">
        <v>498</v>
      </c>
      <c r="B450" t="s">
        <v>499</v>
      </c>
      <c r="C450" t="s">
        <v>942</v>
      </c>
      <c r="D450" t="s">
        <v>943</v>
      </c>
      <c r="E450" t="s">
        <v>502</v>
      </c>
      <c r="F450" t="s">
        <v>38</v>
      </c>
      <c r="G450" t="s">
        <v>503</v>
      </c>
      <c r="H450" s="15">
        <v>125</v>
      </c>
      <c r="I450" s="15">
        <f t="shared" si="99"/>
        <v>3.9030899869919438</v>
      </c>
      <c r="J450" s="17">
        <v>0.86799999999999999</v>
      </c>
      <c r="K450" s="17">
        <v>369000</v>
      </c>
      <c r="L450" s="11" t="s">
        <v>247</v>
      </c>
      <c r="M450" s="11" t="s">
        <v>247</v>
      </c>
      <c r="N450" s="14">
        <v>20</v>
      </c>
      <c r="O450" s="11">
        <v>500.84</v>
      </c>
      <c r="P450" s="13">
        <v>17.690000000000001</v>
      </c>
      <c r="Q450" s="11">
        <f t="shared" ref="Q450:Q513" si="100">IF(ISNUMBER(P450),12.5*P450,"-")</f>
        <v>221.12500000000003</v>
      </c>
      <c r="R450" s="20">
        <f t="shared" ref="R450:R513" si="101">IF(OR(Q450="-",O450="",O450=0),"-",Q450/O450*100)</f>
        <v>44.150826611293034</v>
      </c>
      <c r="S450" s="20">
        <f t="shared" ref="S450:S513" si="102">IF(R450="-","-",R450/100)</f>
        <v>0.44150826611293037</v>
      </c>
      <c r="T450" s="15">
        <f t="shared" ref="T450:T513" si="103">IF(H450="no data","no data",IF(OR(H450="",S450="-",S450=""),"-",H450*S450))</f>
        <v>55.188533264116295</v>
      </c>
      <c r="U450" s="15">
        <f t="shared" ref="U450:U513" si="104">IF(T450="no data","no data",IF(T450="-","-",IF(T450="","",IF(T450=0,0,-LOG10(T450*10^-6)))))</f>
        <v>4.2581511479489649</v>
      </c>
      <c r="V450" s="21">
        <v>0.28799999999999998</v>
      </c>
      <c r="W450" s="20">
        <f t="shared" ref="W450:W457" si="105">IF(OR(NOT(ISNUMBER(P450)),P450=0),"-",43.15/P450+0.86)</f>
        <v>3.2992312040700957</v>
      </c>
      <c r="X450" s="20">
        <f t="shared" ref="X450:X513" si="106">IF(W450="-","-",31.74)</f>
        <v>31.74</v>
      </c>
      <c r="Y450" s="21">
        <f t="shared" ref="Y450:Y513" si="107">IF(OR(W450="-",X450="-"),"-",SQRT((W450/100)^2+(X450/100)^2)/LN(10))</f>
        <v>0.13858775332564535</v>
      </c>
      <c r="Z450" s="21">
        <f t="shared" ref="Z450:Z513" si="108">IF(OR(V450="-",Y450="-",U450="no data",U450="",U450="-"),"-",SQRT(V450^2+Y450^2))</f>
        <v>0.31961002076256917</v>
      </c>
      <c r="AA450" s="21">
        <f t="shared" ref="AA450:AA457" si="109">IF(V450="-","-",V450*1.96)</f>
        <v>0.56447999999999998</v>
      </c>
      <c r="AB450" s="21">
        <f t="shared" ref="AB450:AB457" si="110">IF(Z450="-","-",Z450*1.96)</f>
        <v>0.62643564069463553</v>
      </c>
    </row>
    <row r="451" spans="1:28" ht="16" customHeight="1" x14ac:dyDescent="0.2">
      <c r="A451" t="s">
        <v>498</v>
      </c>
      <c r="B451" t="s">
        <v>499</v>
      </c>
      <c r="C451" t="s">
        <v>944</v>
      </c>
      <c r="D451" t="s">
        <v>945</v>
      </c>
      <c r="E451" t="s">
        <v>502</v>
      </c>
      <c r="F451" t="s">
        <v>38</v>
      </c>
      <c r="G451" t="s">
        <v>503</v>
      </c>
      <c r="H451" s="15">
        <v>8630</v>
      </c>
      <c r="I451" s="15">
        <f t="shared" si="99"/>
        <v>2.0639892042847903</v>
      </c>
      <c r="J451" s="17">
        <v>1.28</v>
      </c>
      <c r="K451" s="17">
        <v>463000</v>
      </c>
      <c r="L451" s="11" t="s">
        <v>35</v>
      </c>
      <c r="M451" s="11" t="s">
        <v>81</v>
      </c>
      <c r="N451" s="14">
        <v>65</v>
      </c>
      <c r="O451" s="11">
        <v>250.79</v>
      </c>
      <c r="P451" s="23" t="s">
        <v>82</v>
      </c>
      <c r="Q451" s="11" t="str">
        <f t="shared" si="100"/>
        <v>-</v>
      </c>
      <c r="R451" s="24" t="str">
        <f t="shared" si="101"/>
        <v>-</v>
      </c>
      <c r="S451" s="20" t="str">
        <f t="shared" si="102"/>
        <v>-</v>
      </c>
      <c r="T451" s="15" t="str">
        <f t="shared" si="103"/>
        <v>-</v>
      </c>
      <c r="U451" s="15" t="str">
        <f t="shared" si="104"/>
        <v>-</v>
      </c>
      <c r="V451" s="21">
        <v>0.69899999999999995</v>
      </c>
      <c r="W451" s="20" t="str">
        <f t="shared" si="105"/>
        <v>-</v>
      </c>
      <c r="X451" s="20" t="str">
        <f t="shared" si="106"/>
        <v>-</v>
      </c>
      <c r="Y451" s="21" t="str">
        <f t="shared" si="107"/>
        <v>-</v>
      </c>
      <c r="Z451" s="21" t="str">
        <f t="shared" si="108"/>
        <v>-</v>
      </c>
      <c r="AA451" s="21">
        <f t="shared" si="109"/>
        <v>1.3700399999999999</v>
      </c>
      <c r="AB451" s="21" t="str">
        <f t="shared" si="110"/>
        <v>-</v>
      </c>
    </row>
    <row r="452" spans="1:28" ht="16" customHeight="1" x14ac:dyDescent="0.2">
      <c r="A452" t="s">
        <v>498</v>
      </c>
      <c r="B452" t="s">
        <v>499</v>
      </c>
      <c r="C452" t="s">
        <v>946</v>
      </c>
      <c r="D452" t="s">
        <v>947</v>
      </c>
      <c r="E452" t="s">
        <v>502</v>
      </c>
      <c r="F452" t="s">
        <v>33</v>
      </c>
      <c r="G452" t="s">
        <v>503</v>
      </c>
      <c r="H452" s="15">
        <v>6.81</v>
      </c>
      <c r="I452" s="15">
        <f t="shared" si="99"/>
        <v>5.1668528880872149</v>
      </c>
      <c r="J452" s="17">
        <v>0.56299999999999994</v>
      </c>
      <c r="K452" s="17">
        <v>269000</v>
      </c>
      <c r="L452" s="11" t="s">
        <v>35</v>
      </c>
      <c r="M452" s="11" t="s">
        <v>35</v>
      </c>
      <c r="N452" s="14">
        <v>65</v>
      </c>
      <c r="O452" s="11">
        <v>249.92</v>
      </c>
      <c r="P452" s="13">
        <v>17.391999999999999</v>
      </c>
      <c r="Q452" s="11">
        <f t="shared" si="100"/>
        <v>217.4</v>
      </c>
      <c r="R452" s="20">
        <f t="shared" si="101"/>
        <v>86.987836107554429</v>
      </c>
      <c r="S452" s="20">
        <f t="shared" si="102"/>
        <v>0.86987836107554428</v>
      </c>
      <c r="T452" s="15">
        <f t="shared" si="103"/>
        <v>5.9238716389244566</v>
      </c>
      <c r="U452" s="15">
        <f t="shared" si="104"/>
        <v>5.2273943605341451</v>
      </c>
      <c r="V452" s="21">
        <v>0.1</v>
      </c>
      <c r="W452" s="20">
        <f t="shared" si="105"/>
        <v>3.341025758969641</v>
      </c>
      <c r="X452" s="20">
        <f t="shared" si="106"/>
        <v>31.74</v>
      </c>
      <c r="Y452" s="21">
        <f t="shared" si="107"/>
        <v>0.13860663709884491</v>
      </c>
      <c r="Z452" s="21">
        <f t="shared" si="108"/>
        <v>0.17091459811218845</v>
      </c>
      <c r="AA452" s="21">
        <f t="shared" si="109"/>
        <v>0.19600000000000001</v>
      </c>
      <c r="AB452" s="21">
        <f t="shared" si="110"/>
        <v>0.33499261229988936</v>
      </c>
    </row>
    <row r="453" spans="1:28" ht="16" customHeight="1" x14ac:dyDescent="0.2">
      <c r="A453" t="s">
        <v>498</v>
      </c>
      <c r="B453" t="s">
        <v>499</v>
      </c>
      <c r="C453" t="s">
        <v>948</v>
      </c>
      <c r="D453" t="s">
        <v>949</v>
      </c>
      <c r="E453" t="s">
        <v>502</v>
      </c>
      <c r="F453" t="s">
        <v>38</v>
      </c>
      <c r="G453" t="s">
        <v>503</v>
      </c>
      <c r="H453" s="15">
        <v>1310</v>
      </c>
      <c r="I453" s="15">
        <f t="shared" si="99"/>
        <v>2.8827287043442356</v>
      </c>
      <c r="J453" s="17">
        <v>1.37</v>
      </c>
      <c r="K453" s="17">
        <v>469000</v>
      </c>
      <c r="L453" s="11" t="s">
        <v>35</v>
      </c>
      <c r="M453" s="11" t="s">
        <v>81</v>
      </c>
      <c r="N453" s="14">
        <v>65</v>
      </c>
      <c r="O453" s="11">
        <v>250.62</v>
      </c>
      <c r="P453" s="23" t="s">
        <v>82</v>
      </c>
      <c r="Q453" s="11" t="str">
        <f t="shared" si="100"/>
        <v>-</v>
      </c>
      <c r="R453" s="24" t="str">
        <f t="shared" si="101"/>
        <v>-</v>
      </c>
      <c r="S453" s="20" t="str">
        <f t="shared" si="102"/>
        <v>-</v>
      </c>
      <c r="T453" s="15" t="str">
        <f t="shared" si="103"/>
        <v>-</v>
      </c>
      <c r="U453" s="15" t="str">
        <f t="shared" si="104"/>
        <v>-</v>
      </c>
      <c r="V453" s="21">
        <v>0.33500000000000002</v>
      </c>
      <c r="W453" s="20" t="str">
        <f t="shared" si="105"/>
        <v>-</v>
      </c>
      <c r="X453" s="20" t="str">
        <f t="shared" si="106"/>
        <v>-</v>
      </c>
      <c r="Y453" s="21" t="str">
        <f t="shared" si="107"/>
        <v>-</v>
      </c>
      <c r="Z453" s="21" t="str">
        <f t="shared" si="108"/>
        <v>-</v>
      </c>
      <c r="AA453" s="21">
        <f t="shared" si="109"/>
        <v>0.65660000000000007</v>
      </c>
      <c r="AB453" s="21" t="str">
        <f t="shared" si="110"/>
        <v>-</v>
      </c>
    </row>
    <row r="454" spans="1:28" ht="16" customHeight="1" x14ac:dyDescent="0.2">
      <c r="A454" t="s">
        <v>498</v>
      </c>
      <c r="B454" t="s">
        <v>499</v>
      </c>
      <c r="C454" t="s">
        <v>950</v>
      </c>
      <c r="D454" t="s">
        <v>951</v>
      </c>
      <c r="E454" t="s">
        <v>502</v>
      </c>
      <c r="F454" t="s">
        <v>33</v>
      </c>
      <c r="G454" t="s">
        <v>503</v>
      </c>
      <c r="H454" s="15">
        <v>11.8</v>
      </c>
      <c r="I454" s="15">
        <f t="shared" si="99"/>
        <v>4.928117992693875</v>
      </c>
      <c r="J454" s="17">
        <v>0.871</v>
      </c>
      <c r="K454" s="17">
        <v>370000</v>
      </c>
      <c r="L454" s="11" t="s">
        <v>35</v>
      </c>
      <c r="M454" s="11" t="s">
        <v>35</v>
      </c>
      <c r="N454" s="14">
        <v>65</v>
      </c>
      <c r="O454" s="11">
        <v>250.85</v>
      </c>
      <c r="P454" s="13">
        <v>7.91</v>
      </c>
      <c r="Q454" s="11">
        <f t="shared" si="100"/>
        <v>98.875</v>
      </c>
      <c r="R454" s="20">
        <f t="shared" si="101"/>
        <v>39.415985648794098</v>
      </c>
      <c r="S454" s="20">
        <f t="shared" si="102"/>
        <v>0.394159856487941</v>
      </c>
      <c r="T454" s="15">
        <f t="shared" si="103"/>
        <v>4.6510863065577039</v>
      </c>
      <c r="U454" s="15">
        <f t="shared" si="104"/>
        <v>5.3324456015519122</v>
      </c>
      <c r="V454" s="21">
        <v>9.3200000000000005E-2</v>
      </c>
      <c r="W454" s="20">
        <f t="shared" si="105"/>
        <v>6.3151201011378006</v>
      </c>
      <c r="X454" s="20">
        <f t="shared" si="106"/>
        <v>31.74</v>
      </c>
      <c r="Y454" s="21">
        <f t="shared" si="107"/>
        <v>0.14054700411557369</v>
      </c>
      <c r="Z454" s="21">
        <f t="shared" si="108"/>
        <v>0.16864074349297412</v>
      </c>
      <c r="AA454" s="21">
        <f t="shared" si="109"/>
        <v>0.182672</v>
      </c>
      <c r="AB454" s="21">
        <f t="shared" si="110"/>
        <v>0.33053585724622925</v>
      </c>
    </row>
    <row r="455" spans="1:28" ht="16" customHeight="1" x14ac:dyDescent="0.2">
      <c r="A455" t="s">
        <v>498</v>
      </c>
      <c r="B455" t="s">
        <v>499</v>
      </c>
      <c r="C455" t="s">
        <v>952</v>
      </c>
      <c r="D455" t="s">
        <v>953</v>
      </c>
      <c r="E455" t="s">
        <v>502</v>
      </c>
      <c r="F455" t="s">
        <v>33</v>
      </c>
      <c r="G455" t="s">
        <v>503</v>
      </c>
      <c r="H455" s="15">
        <v>3.64</v>
      </c>
      <c r="I455" s="15">
        <f t="shared" si="99"/>
        <v>5.4388986163509436</v>
      </c>
      <c r="J455" s="17">
        <v>0.69899999999999995</v>
      </c>
      <c r="K455" s="17">
        <v>314000</v>
      </c>
      <c r="L455" s="11" t="s">
        <v>35</v>
      </c>
      <c r="M455" s="11" t="s">
        <v>35</v>
      </c>
      <c r="N455" s="14">
        <v>65</v>
      </c>
      <c r="O455" s="11">
        <v>249.59</v>
      </c>
      <c r="P455" s="13">
        <v>25.93</v>
      </c>
      <c r="Q455" s="11">
        <f t="shared" si="100"/>
        <v>324.125</v>
      </c>
      <c r="R455" s="20">
        <f t="shared" si="101"/>
        <v>129.86297527945831</v>
      </c>
      <c r="S455" s="20">
        <f t="shared" si="102"/>
        <v>1.2986297527945831</v>
      </c>
      <c r="T455" s="15">
        <f t="shared" si="103"/>
        <v>4.7270123001722828</v>
      </c>
      <c r="U455" s="15">
        <f t="shared" si="104"/>
        <v>5.325413267616697</v>
      </c>
      <c r="V455" s="21">
        <v>4.99E-2</v>
      </c>
      <c r="W455" s="20">
        <f t="shared" si="105"/>
        <v>2.524095642113382</v>
      </c>
      <c r="X455" s="20">
        <f t="shared" si="106"/>
        <v>31.74</v>
      </c>
      <c r="Y455" s="21">
        <f t="shared" si="107"/>
        <v>0.13828025363961163</v>
      </c>
      <c r="Z455" s="21">
        <f t="shared" si="108"/>
        <v>0.14700829414232153</v>
      </c>
      <c r="AA455" s="21">
        <f t="shared" si="109"/>
        <v>9.7804000000000002E-2</v>
      </c>
      <c r="AB455" s="21">
        <f t="shared" si="110"/>
        <v>0.2881362565189502</v>
      </c>
    </row>
    <row r="456" spans="1:28" ht="16" customHeight="1" x14ac:dyDescent="0.2">
      <c r="A456" t="s">
        <v>498</v>
      </c>
      <c r="B456" t="s">
        <v>499</v>
      </c>
      <c r="C456" t="s">
        <v>954</v>
      </c>
      <c r="D456" t="s">
        <v>955</v>
      </c>
      <c r="E456" t="s">
        <v>502</v>
      </c>
      <c r="F456" t="s">
        <v>38</v>
      </c>
      <c r="G456" t="s">
        <v>503</v>
      </c>
      <c r="H456" s="15">
        <v>8800</v>
      </c>
      <c r="I456" s="15">
        <f t="shared" si="99"/>
        <v>2.0555173278498313</v>
      </c>
      <c r="J456" s="17">
        <v>1.31</v>
      </c>
      <c r="K456" s="17">
        <v>471000</v>
      </c>
      <c r="L456" s="11" t="s">
        <v>35</v>
      </c>
      <c r="M456" s="11" t="s">
        <v>81</v>
      </c>
      <c r="N456" s="14">
        <v>65</v>
      </c>
      <c r="O456" s="11">
        <v>250.57</v>
      </c>
      <c r="P456" s="23" t="s">
        <v>82</v>
      </c>
      <c r="Q456" s="11" t="str">
        <f t="shared" si="100"/>
        <v>-</v>
      </c>
      <c r="R456" s="24" t="str">
        <f t="shared" si="101"/>
        <v>-</v>
      </c>
      <c r="S456" s="20" t="str">
        <f t="shared" si="102"/>
        <v>-</v>
      </c>
      <c r="T456" s="15" t="str">
        <f t="shared" si="103"/>
        <v>-</v>
      </c>
      <c r="U456" s="15" t="str">
        <f t="shared" si="104"/>
        <v>-</v>
      </c>
      <c r="V456" s="21">
        <v>0.63800000000000001</v>
      </c>
      <c r="W456" s="20" t="str">
        <f t="shared" si="105"/>
        <v>-</v>
      </c>
      <c r="X456" s="20" t="str">
        <f t="shared" si="106"/>
        <v>-</v>
      </c>
      <c r="Y456" s="21" t="str">
        <f t="shared" si="107"/>
        <v>-</v>
      </c>
      <c r="Z456" s="21" t="str">
        <f t="shared" si="108"/>
        <v>-</v>
      </c>
      <c r="AA456" s="21">
        <f t="shared" si="109"/>
        <v>1.25048</v>
      </c>
      <c r="AB456" s="21" t="str">
        <f t="shared" si="110"/>
        <v>-</v>
      </c>
    </row>
    <row r="457" spans="1:28" ht="16" customHeight="1" x14ac:dyDescent="0.2">
      <c r="A457" t="s">
        <v>498</v>
      </c>
      <c r="B457" t="s">
        <v>499</v>
      </c>
      <c r="C457" t="s">
        <v>956</v>
      </c>
      <c r="D457" t="s">
        <v>957</v>
      </c>
      <c r="E457" t="s">
        <v>502</v>
      </c>
      <c r="F457" t="s">
        <v>38</v>
      </c>
      <c r="G457" t="s">
        <v>503</v>
      </c>
      <c r="H457" s="15">
        <v>13200</v>
      </c>
      <c r="I457" s="15">
        <f t="shared" si="99"/>
        <v>1.8794260687941502</v>
      </c>
      <c r="J457" s="17">
        <v>1.27</v>
      </c>
      <c r="K457" s="17">
        <v>460000</v>
      </c>
      <c r="L457" s="11" t="s">
        <v>35</v>
      </c>
      <c r="M457" s="11" t="s">
        <v>81</v>
      </c>
      <c r="N457" s="14">
        <v>65</v>
      </c>
      <c r="O457" s="11">
        <v>250.22</v>
      </c>
      <c r="P457" s="23" t="s">
        <v>82</v>
      </c>
      <c r="Q457" s="11" t="str">
        <f t="shared" si="100"/>
        <v>-</v>
      </c>
      <c r="R457" s="24" t="str">
        <f t="shared" si="101"/>
        <v>-</v>
      </c>
      <c r="S457" s="20" t="str">
        <f t="shared" si="102"/>
        <v>-</v>
      </c>
      <c r="T457" s="15" t="str">
        <f t="shared" si="103"/>
        <v>-</v>
      </c>
      <c r="U457" s="15" t="str">
        <f t="shared" si="104"/>
        <v>-</v>
      </c>
      <c r="V457" s="21">
        <v>0.58599999999999997</v>
      </c>
      <c r="W457" s="20" t="str">
        <f t="shared" si="105"/>
        <v>-</v>
      </c>
      <c r="X457" s="20" t="str">
        <f t="shared" si="106"/>
        <v>-</v>
      </c>
      <c r="Y457" s="21" t="str">
        <f t="shared" si="107"/>
        <v>-</v>
      </c>
      <c r="Z457" s="21" t="str">
        <f t="shared" si="108"/>
        <v>-</v>
      </c>
      <c r="AA457" s="21">
        <f t="shared" si="109"/>
        <v>1.1485599999999998</v>
      </c>
      <c r="AB457" s="21" t="str">
        <f t="shared" si="110"/>
        <v>-</v>
      </c>
    </row>
  </sheetData>
  <conditionalFormatting sqref="R2:R457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97"/>
  <sheetViews>
    <sheetView workbookViewId="0"/>
  </sheetViews>
  <sheetFormatPr baseColWidth="10" defaultColWidth="8.83203125" defaultRowHeight="15" x14ac:dyDescent="0.2"/>
  <cols>
    <col min="1" max="1" width="11.83203125" bestFit="1" customWidth="1"/>
    <col min="2" max="3" width="12.83203125" customWidth="1"/>
    <col min="4" max="4" width="15.83203125" bestFit="1" customWidth="1"/>
    <col min="5" max="5" width="17.1640625" bestFit="1" customWidth="1"/>
    <col min="6" max="6" width="18.1640625" bestFit="1" customWidth="1"/>
    <col min="7" max="7" width="18.83203125" bestFit="1" customWidth="1"/>
    <col min="8" max="8" width="22.83203125" bestFit="1" customWidth="1"/>
    <col min="9" max="9" width="16.83203125" bestFit="1" customWidth="1"/>
    <col min="10" max="10" width="11" bestFit="1" customWidth="1"/>
    <col min="11" max="11" width="17.33203125" customWidth="1"/>
    <col min="12" max="12" width="35.33203125" bestFit="1" customWidth="1"/>
    <col min="13" max="13" width="24.83203125" bestFit="1" customWidth="1"/>
    <col min="14" max="14" width="31.33203125" bestFit="1" customWidth="1"/>
    <col min="15" max="15" width="23" bestFit="1" customWidth="1"/>
    <col min="16" max="16" width="24.5" bestFit="1" customWidth="1"/>
    <col min="17" max="17" width="25.5" bestFit="1" customWidth="1"/>
    <col min="18" max="18" width="26.6640625" bestFit="1" customWidth="1"/>
    <col min="19" max="19" width="23.83203125" bestFit="1" customWidth="1"/>
    <col min="20" max="20" width="26.33203125" bestFit="1" customWidth="1"/>
    <col min="21" max="21" width="23" bestFit="1" customWidth="1"/>
    <col min="22" max="22" width="25.1640625" bestFit="1" customWidth="1"/>
    <col min="23" max="23" width="30.83203125" bestFit="1" customWidth="1"/>
    <col min="24" max="24" width="24.6640625" bestFit="1" customWidth="1"/>
    <col min="25" max="25" width="33" bestFit="1" customWidth="1"/>
  </cols>
  <sheetData>
    <row r="1" spans="1:25" ht="16" customHeight="1" x14ac:dyDescent="0.2">
      <c r="A1" s="4" t="s">
        <v>1045</v>
      </c>
      <c r="B1" s="4" t="s">
        <v>2</v>
      </c>
      <c r="C1" s="4" t="s">
        <v>3</v>
      </c>
      <c r="D1" s="4" t="s">
        <v>958</v>
      </c>
      <c r="E1" s="4" t="s">
        <v>6</v>
      </c>
      <c r="F1" s="5" t="s">
        <v>987</v>
      </c>
      <c r="G1" s="5" t="s">
        <v>989</v>
      </c>
      <c r="H1" s="12" t="s">
        <v>1046</v>
      </c>
      <c r="I1" s="12" t="s">
        <v>1047</v>
      </c>
      <c r="J1" s="4" t="s">
        <v>11</v>
      </c>
      <c r="K1" s="4" t="s">
        <v>981</v>
      </c>
      <c r="L1" s="4" t="s">
        <v>982</v>
      </c>
      <c r="M1" s="4" t="s">
        <v>983</v>
      </c>
      <c r="N1" s="4" t="s">
        <v>984</v>
      </c>
      <c r="O1" s="4" t="s">
        <v>985</v>
      </c>
      <c r="P1" s="3" t="s">
        <v>986</v>
      </c>
      <c r="Q1" s="6" t="s">
        <v>988</v>
      </c>
      <c r="R1" s="6" t="s">
        <v>990</v>
      </c>
      <c r="S1" s="6" t="s">
        <v>995</v>
      </c>
      <c r="T1" s="6" t="s">
        <v>996</v>
      </c>
      <c r="U1" s="6" t="s">
        <v>997</v>
      </c>
      <c r="V1" s="6" t="s">
        <v>998</v>
      </c>
      <c r="W1" s="6" t="s">
        <v>999</v>
      </c>
      <c r="X1" s="6" t="s">
        <v>1001</v>
      </c>
      <c r="Y1" s="6" t="s">
        <v>1002</v>
      </c>
    </row>
    <row r="2" spans="1:25" ht="16" customHeight="1" x14ac:dyDescent="0.2">
      <c r="A2" t="s">
        <v>1048</v>
      </c>
      <c r="B2" t="s">
        <v>1049</v>
      </c>
      <c r="C2" t="s">
        <v>1050</v>
      </c>
      <c r="D2" t="s">
        <v>1005</v>
      </c>
      <c r="E2" t="s">
        <v>1051</v>
      </c>
      <c r="F2" s="15">
        <v>1.812456896039184</v>
      </c>
      <c r="G2" s="15">
        <f t="shared" ref="G2:G33" si="0">IF(F2=0, 0, -LOG10(F2*10^-6))</f>
        <v>5.7417323130521005</v>
      </c>
      <c r="H2" s="9">
        <v>0.78</v>
      </c>
      <c r="I2" s="19">
        <v>416500</v>
      </c>
      <c r="J2" s="11" t="s">
        <v>35</v>
      </c>
      <c r="K2" s="14">
        <v>65</v>
      </c>
      <c r="L2" s="11">
        <v>503.72</v>
      </c>
      <c r="M2" s="13">
        <v>30.248352967790058</v>
      </c>
      <c r="N2" s="11">
        <f t="shared" ref="N2:N33" si="1">IF(ISNUMBER(M2),12.5*M2,"-")</f>
        <v>378.10441209737576</v>
      </c>
      <c r="O2" s="20">
        <f t="shared" ref="O2:O33" si="2">IF(OR(N2="-",L2="",L2=0),"-",N2/L2*100)</f>
        <v>75.062418029336882</v>
      </c>
      <c r="P2" s="20">
        <f t="shared" ref="P2:P33" si="3">IF(O2="-","-",O2/100)</f>
        <v>0.75062418029336886</v>
      </c>
      <c r="Q2" s="15">
        <f t="shared" ref="Q2:Q33" si="4">IF(F2="no data","no data",IF(OR(F2="",P2="-",P2=""),"-",F2*P2))</f>
        <v>1.3604739719064762</v>
      </c>
      <c r="R2" s="15">
        <f t="shared" ref="R2:R33" si="5">IF(Q2="no data","no data",IF(Q2="-","-",IF(Q2="","",IF(Q2=0,0,-LOG10(Q2*10^-6)))))</f>
        <v>5.866309762568914</v>
      </c>
      <c r="S2" s="21">
        <v>6.4411256780162268E-2</v>
      </c>
      <c r="T2" s="20">
        <f t="shared" ref="T2:T33" si="6">IF(OR(NOT(ISNUMBER(M2)),M2=0),"-",43.15/M2+0.86)</f>
        <v>2.2865239514345874</v>
      </c>
      <c r="U2" s="20">
        <f t="shared" ref="U2:U33" si="7">IF(T2="-","-",31.74)</f>
        <v>31.74</v>
      </c>
      <c r="V2" s="21">
        <f t="shared" ref="V2:V33" si="8">IF(OR(T2="-",U2="-"),"-",SQRT((T2/100)^2+(U2/100)^2)/LN(10))</f>
        <v>0.13820228919101035</v>
      </c>
      <c r="W2" s="21">
        <f t="shared" ref="W2:W33" si="9">IF(OR(S2="-",V2="-",R2="no data",R2="",R2="-"),"-",SQRT(S2^2+V2^2))</f>
        <v>0.15247518728513063</v>
      </c>
      <c r="X2" s="21">
        <f t="shared" ref="X2:X33" si="10">IF(S2="-","-",S2*1.96)</f>
        <v>0.12624606328911805</v>
      </c>
      <c r="Y2" s="21">
        <f t="shared" ref="Y2:Y33" si="11">IF(W2="-","-",W2*1.96)</f>
        <v>0.29885136707885601</v>
      </c>
    </row>
    <row r="3" spans="1:25" ht="16" customHeight="1" x14ac:dyDescent="0.2">
      <c r="A3" t="s">
        <v>1048</v>
      </c>
      <c r="B3" t="s">
        <v>1052</v>
      </c>
      <c r="C3" t="s">
        <v>1053</v>
      </c>
      <c r="D3" t="s">
        <v>1005</v>
      </c>
      <c r="E3" t="s">
        <v>1051</v>
      </c>
      <c r="F3" s="15">
        <v>158.84583721331819</v>
      </c>
      <c r="G3" s="15">
        <f t="shared" si="0"/>
        <v>3.7990241620075862</v>
      </c>
      <c r="H3" s="9">
        <v>1.44</v>
      </c>
      <c r="I3" s="19">
        <v>671000</v>
      </c>
      <c r="J3" s="11" t="s">
        <v>247</v>
      </c>
      <c r="K3" s="14">
        <v>20</v>
      </c>
      <c r="L3" s="11">
        <v>497.8</v>
      </c>
      <c r="M3" s="13">
        <v>22.52143727484809</v>
      </c>
      <c r="N3" s="11">
        <f t="shared" si="1"/>
        <v>281.51796593560113</v>
      </c>
      <c r="O3" s="20">
        <f t="shared" si="2"/>
        <v>56.552423852069332</v>
      </c>
      <c r="P3" s="20">
        <f t="shared" si="3"/>
        <v>0.56552423852069333</v>
      </c>
      <c r="Q3" s="15">
        <f t="shared" si="4"/>
        <v>89.831171132243782</v>
      </c>
      <c r="R3" s="15">
        <f t="shared" si="5"/>
        <v>4.046572938369108</v>
      </c>
      <c r="S3" s="21">
        <v>0.16612796272753119</v>
      </c>
      <c r="T3" s="20">
        <f t="shared" si="6"/>
        <v>2.7759523201563097</v>
      </c>
      <c r="U3" s="20">
        <f t="shared" si="7"/>
        <v>31.74</v>
      </c>
      <c r="V3" s="21">
        <f t="shared" si="8"/>
        <v>0.13837125939175093</v>
      </c>
      <c r="W3" s="21">
        <f t="shared" si="9"/>
        <v>0.21620616417128169</v>
      </c>
      <c r="X3" s="21">
        <f t="shared" si="10"/>
        <v>0.32561080694596112</v>
      </c>
      <c r="Y3" s="21">
        <f t="shared" si="11"/>
        <v>0.42376408177571212</v>
      </c>
    </row>
    <row r="4" spans="1:25" ht="16" customHeight="1" x14ac:dyDescent="0.2">
      <c r="A4" t="s">
        <v>1048</v>
      </c>
      <c r="B4" t="s">
        <v>1054</v>
      </c>
      <c r="C4" t="s">
        <v>1055</v>
      </c>
      <c r="D4" t="s">
        <v>1005</v>
      </c>
      <c r="E4" t="s">
        <v>1051</v>
      </c>
      <c r="F4" s="15">
        <v>5.6390070047837328</v>
      </c>
      <c r="G4" s="15">
        <f t="shared" si="0"/>
        <v>5.2487973659299954</v>
      </c>
      <c r="H4" s="9">
        <v>0.748</v>
      </c>
      <c r="I4" s="19">
        <v>402500</v>
      </c>
      <c r="J4" s="11" t="s">
        <v>35</v>
      </c>
      <c r="K4" s="14">
        <v>65</v>
      </c>
      <c r="L4" s="11">
        <v>496.36</v>
      </c>
      <c r="M4" s="13">
        <v>24.727363363471291</v>
      </c>
      <c r="N4" s="11">
        <f t="shared" si="1"/>
        <v>309.09204204339113</v>
      </c>
      <c r="O4" s="20">
        <f t="shared" si="2"/>
        <v>62.271746724835019</v>
      </c>
      <c r="P4" s="20">
        <f t="shared" si="3"/>
        <v>0.6227174672483502</v>
      </c>
      <c r="Q4" s="15">
        <f t="shared" si="4"/>
        <v>3.5115081598146314</v>
      </c>
      <c r="R4" s="15">
        <f t="shared" si="5"/>
        <v>5.454506318061207</v>
      </c>
      <c r="S4" s="21">
        <v>4.402661127091205E-2</v>
      </c>
      <c r="T4" s="20">
        <f t="shared" si="6"/>
        <v>2.6050303684113651</v>
      </c>
      <c r="U4" s="20">
        <f t="shared" si="7"/>
        <v>31.74</v>
      </c>
      <c r="V4" s="21">
        <f t="shared" si="8"/>
        <v>0.1383085618411812</v>
      </c>
      <c r="W4" s="21">
        <f t="shared" si="9"/>
        <v>0.14514682490008468</v>
      </c>
      <c r="X4" s="21">
        <f t="shared" si="10"/>
        <v>8.6292158090987614E-2</v>
      </c>
      <c r="Y4" s="21">
        <f t="shared" si="11"/>
        <v>0.28448777680416598</v>
      </c>
    </row>
    <row r="5" spans="1:25" ht="16" customHeight="1" x14ac:dyDescent="0.2">
      <c r="A5" t="s">
        <v>1048</v>
      </c>
      <c r="B5" t="s">
        <v>1056</v>
      </c>
      <c r="C5" t="s">
        <v>1057</v>
      </c>
      <c r="D5" t="s">
        <v>1005</v>
      </c>
      <c r="E5" t="s">
        <v>1051</v>
      </c>
      <c r="F5" s="15">
        <v>5.5086295936466847</v>
      </c>
      <c r="G5" s="15">
        <f t="shared" si="0"/>
        <v>5.2589564290867568</v>
      </c>
      <c r="H5" s="9">
        <v>1.325</v>
      </c>
      <c r="I5" s="19">
        <v>624500</v>
      </c>
      <c r="J5" s="11" t="s">
        <v>247</v>
      </c>
      <c r="K5" s="14">
        <v>20</v>
      </c>
      <c r="L5" s="11">
        <v>497.92</v>
      </c>
      <c r="M5" s="13">
        <v>14.25513765100467</v>
      </c>
      <c r="N5" s="11">
        <f t="shared" si="1"/>
        <v>178.18922063755838</v>
      </c>
      <c r="O5" s="20">
        <f t="shared" si="2"/>
        <v>35.786716869689585</v>
      </c>
      <c r="P5" s="20">
        <f t="shared" si="3"/>
        <v>0.35786716869689583</v>
      </c>
      <c r="Q5" s="15">
        <f t="shared" si="4"/>
        <v>1.9713576760782709</v>
      </c>
      <c r="R5" s="15">
        <f t="shared" si="5"/>
        <v>5.7052345717355859</v>
      </c>
      <c r="S5" s="21">
        <v>5.2622832496930463E-2</v>
      </c>
      <c r="T5" s="20">
        <f t="shared" si="6"/>
        <v>3.8869788378338725</v>
      </c>
      <c r="U5" s="20">
        <f t="shared" si="7"/>
        <v>31.74</v>
      </c>
      <c r="V5" s="21">
        <f t="shared" si="8"/>
        <v>0.138874867698902</v>
      </c>
      <c r="W5" s="21">
        <f t="shared" si="9"/>
        <v>0.14851057665495593</v>
      </c>
      <c r="X5" s="21">
        <f t="shared" si="10"/>
        <v>0.10314075169398371</v>
      </c>
      <c r="Y5" s="21">
        <f t="shared" si="11"/>
        <v>0.29108073024371361</v>
      </c>
    </row>
    <row r="6" spans="1:25" ht="16" customHeight="1" x14ac:dyDescent="0.2">
      <c r="A6" t="s">
        <v>1048</v>
      </c>
      <c r="B6" t="s">
        <v>1058</v>
      </c>
      <c r="C6" t="s">
        <v>1059</v>
      </c>
      <c r="D6" t="s">
        <v>1005</v>
      </c>
      <c r="E6" t="s">
        <v>1051</v>
      </c>
      <c r="F6" s="15">
        <v>11.14306959504427</v>
      </c>
      <c r="G6" s="15">
        <f t="shared" si="0"/>
        <v>4.9529951570477415</v>
      </c>
      <c r="H6" s="9">
        <v>0.79</v>
      </c>
      <c r="I6" s="19">
        <v>419000</v>
      </c>
      <c r="J6" s="11" t="s">
        <v>247</v>
      </c>
      <c r="K6" s="14">
        <v>20</v>
      </c>
      <c r="L6" s="11">
        <v>505.68</v>
      </c>
      <c r="M6" s="13">
        <v>29.449813060041119</v>
      </c>
      <c r="N6" s="11">
        <f t="shared" si="1"/>
        <v>368.12266325051399</v>
      </c>
      <c r="O6" s="20">
        <f t="shared" si="2"/>
        <v>72.797552454222824</v>
      </c>
      <c r="P6" s="20">
        <f t="shared" si="3"/>
        <v>0.72797552454222825</v>
      </c>
      <c r="Q6" s="15">
        <f t="shared" si="4"/>
        <v>8.1118819334629073</v>
      </c>
      <c r="R6" s="15">
        <f t="shared" si="5"/>
        <v>5.0908783790189629</v>
      </c>
      <c r="S6" s="21">
        <v>9.7616596949494192E-2</v>
      </c>
      <c r="T6" s="20">
        <f t="shared" si="6"/>
        <v>2.3252045468685143</v>
      </c>
      <c r="U6" s="20">
        <f t="shared" si="7"/>
        <v>31.74</v>
      </c>
      <c r="V6" s="21">
        <f t="shared" si="8"/>
        <v>0.13821446116871086</v>
      </c>
      <c r="W6" s="21">
        <f t="shared" si="9"/>
        <v>0.16921062991478131</v>
      </c>
      <c r="X6" s="21">
        <f t="shared" si="10"/>
        <v>0.19132853002100861</v>
      </c>
      <c r="Y6" s="21">
        <f t="shared" si="11"/>
        <v>0.33165283463297135</v>
      </c>
    </row>
    <row r="7" spans="1:25" ht="16" customHeight="1" x14ac:dyDescent="0.2">
      <c r="A7" t="s">
        <v>1048</v>
      </c>
      <c r="B7" t="s">
        <v>1060</v>
      </c>
      <c r="C7" t="s">
        <v>1061</v>
      </c>
      <c r="D7" t="s">
        <v>1005</v>
      </c>
      <c r="E7" t="s">
        <v>1051</v>
      </c>
      <c r="F7" s="15">
        <v>12.99038105676658</v>
      </c>
      <c r="G7" s="15">
        <f t="shared" si="0"/>
        <v>4.8863781092484686</v>
      </c>
      <c r="H7" s="9">
        <v>1.4550000000000001</v>
      </c>
      <c r="I7" s="19">
        <v>672500</v>
      </c>
      <c r="J7" s="11" t="s">
        <v>247</v>
      </c>
      <c r="K7" s="14">
        <v>20</v>
      </c>
      <c r="L7" s="11">
        <v>494.24</v>
      </c>
      <c r="M7" s="13">
        <v>27.500307832509769</v>
      </c>
      <c r="N7" s="11">
        <f t="shared" si="1"/>
        <v>343.75384790637213</v>
      </c>
      <c r="O7" s="20">
        <f t="shared" si="2"/>
        <v>69.552008721748976</v>
      </c>
      <c r="P7" s="20">
        <f t="shared" si="3"/>
        <v>0.69552008721748981</v>
      </c>
      <c r="Q7" s="15">
        <f t="shared" si="4"/>
        <v>9.0350709655907195</v>
      </c>
      <c r="R7" s="15">
        <f t="shared" si="5"/>
        <v>5.0440684319416311</v>
      </c>
      <c r="S7" s="21">
        <v>9.7766302988299608E-2</v>
      </c>
      <c r="T7" s="20">
        <f t="shared" si="6"/>
        <v>2.4290733450259703</v>
      </c>
      <c r="U7" s="20">
        <f t="shared" si="7"/>
        <v>31.74</v>
      </c>
      <c r="V7" s="21">
        <f t="shared" si="8"/>
        <v>0.13824815123648471</v>
      </c>
      <c r="W7" s="21">
        <f t="shared" si="9"/>
        <v>0.16932454435286678</v>
      </c>
      <c r="X7" s="21">
        <f t="shared" si="10"/>
        <v>0.19162195385706723</v>
      </c>
      <c r="Y7" s="21">
        <f t="shared" si="11"/>
        <v>0.3318761069316189</v>
      </c>
    </row>
    <row r="8" spans="1:25" ht="16" customHeight="1" x14ac:dyDescent="0.2">
      <c r="A8" t="s">
        <v>1048</v>
      </c>
      <c r="B8" t="s">
        <v>1062</v>
      </c>
      <c r="C8" t="s">
        <v>1063</v>
      </c>
      <c r="D8" t="s">
        <v>1005</v>
      </c>
      <c r="E8" t="s">
        <v>1051</v>
      </c>
      <c r="F8" s="15">
        <v>10.002249746931939</v>
      </c>
      <c r="G8" s="15">
        <f t="shared" si="0"/>
        <v>4.999902305721136</v>
      </c>
      <c r="H8" s="9">
        <v>0.65850000000000009</v>
      </c>
      <c r="I8" s="19">
        <v>368500</v>
      </c>
      <c r="J8" s="11" t="s">
        <v>247</v>
      </c>
      <c r="K8" s="14">
        <v>20</v>
      </c>
      <c r="L8" s="11">
        <v>494.24</v>
      </c>
      <c r="M8" s="13">
        <v>22.676924744985421</v>
      </c>
      <c r="N8" s="11">
        <f t="shared" si="1"/>
        <v>283.46155931231777</v>
      </c>
      <c r="O8" s="20">
        <f t="shared" si="2"/>
        <v>57.353018637163679</v>
      </c>
      <c r="P8" s="20">
        <f t="shared" si="3"/>
        <v>0.57353018637163677</v>
      </c>
      <c r="Q8" s="15">
        <f t="shared" si="4"/>
        <v>5.7365921614935322</v>
      </c>
      <c r="R8" s="15">
        <f t="shared" si="5"/>
        <v>5.2413460248445753</v>
      </c>
      <c r="S8" s="21">
        <v>5.5319187448840929E-2</v>
      </c>
      <c r="T8" s="20">
        <f t="shared" si="6"/>
        <v>2.7628153281472532</v>
      </c>
      <c r="U8" s="20">
        <f t="shared" si="7"/>
        <v>31.74</v>
      </c>
      <c r="V8" s="21">
        <f t="shared" si="8"/>
        <v>0.13836630021487409</v>
      </c>
      <c r="W8" s="21">
        <f t="shared" si="9"/>
        <v>0.14901491715648024</v>
      </c>
      <c r="X8" s="21">
        <f t="shared" si="10"/>
        <v>0.10842560739972822</v>
      </c>
      <c r="Y8" s="21">
        <f t="shared" si="11"/>
        <v>0.29206923762670128</v>
      </c>
    </row>
    <row r="9" spans="1:25" ht="16" customHeight="1" x14ac:dyDescent="0.2">
      <c r="A9" t="s">
        <v>1048</v>
      </c>
      <c r="B9" t="s">
        <v>1064</v>
      </c>
      <c r="C9" t="s">
        <v>1065</v>
      </c>
      <c r="D9" t="s">
        <v>1005</v>
      </c>
      <c r="E9" t="s">
        <v>1051</v>
      </c>
      <c r="F9" s="15">
        <v>29.34416466693169</v>
      </c>
      <c r="G9" s="15">
        <f t="shared" si="0"/>
        <v>4.5324782489279052</v>
      </c>
      <c r="H9" s="9">
        <v>0.88800000000000001</v>
      </c>
      <c r="I9" s="19">
        <v>463500</v>
      </c>
      <c r="J9" s="11" t="s">
        <v>247</v>
      </c>
      <c r="K9" s="14">
        <v>20</v>
      </c>
      <c r="L9" s="11">
        <v>494.24</v>
      </c>
      <c r="M9" s="13">
        <v>11.78113149875052</v>
      </c>
      <c r="N9" s="11">
        <f t="shared" si="1"/>
        <v>147.26414373438149</v>
      </c>
      <c r="O9" s="20">
        <f t="shared" si="2"/>
        <v>29.796079583680296</v>
      </c>
      <c r="P9" s="20">
        <f t="shared" si="3"/>
        <v>0.29796079583680296</v>
      </c>
      <c r="Q9" s="15">
        <f t="shared" si="4"/>
        <v>8.7434106573251604</v>
      </c>
      <c r="R9" s="15">
        <f t="shared" si="5"/>
        <v>5.0583191233476299</v>
      </c>
      <c r="S9" s="21">
        <v>0.1399330196915653</v>
      </c>
      <c r="T9" s="20">
        <f t="shared" si="6"/>
        <v>4.522636309982313</v>
      </c>
      <c r="U9" s="20">
        <f t="shared" si="7"/>
        <v>31.74</v>
      </c>
      <c r="V9" s="21">
        <f t="shared" si="8"/>
        <v>0.1392374008725715</v>
      </c>
      <c r="W9" s="21">
        <f t="shared" si="9"/>
        <v>0.19740391030004745</v>
      </c>
      <c r="X9" s="21">
        <f t="shared" si="10"/>
        <v>0.27426871859546798</v>
      </c>
      <c r="Y9" s="21">
        <f t="shared" si="11"/>
        <v>0.38691166418809297</v>
      </c>
    </row>
    <row r="10" spans="1:25" ht="16" customHeight="1" x14ac:dyDescent="0.2">
      <c r="A10" t="s">
        <v>1048</v>
      </c>
      <c r="B10" t="s">
        <v>1066</v>
      </c>
      <c r="C10" t="s">
        <v>1067</v>
      </c>
      <c r="D10" t="s">
        <v>1005</v>
      </c>
      <c r="E10" t="s">
        <v>1051</v>
      </c>
      <c r="F10" s="15">
        <v>35.244006582680143</v>
      </c>
      <c r="G10" s="15">
        <f t="shared" si="0"/>
        <v>4.452914726314452</v>
      </c>
      <c r="H10" s="9">
        <v>0.88200000000000001</v>
      </c>
      <c r="I10" s="19">
        <v>455500</v>
      </c>
      <c r="J10" s="11" t="s">
        <v>35</v>
      </c>
      <c r="K10" s="14">
        <v>65</v>
      </c>
      <c r="L10" s="11">
        <v>494.26</v>
      </c>
      <c r="M10" s="13">
        <v>14.667565098914981</v>
      </c>
      <c r="N10" s="11">
        <f t="shared" si="1"/>
        <v>183.34456373643727</v>
      </c>
      <c r="O10" s="20">
        <f t="shared" si="2"/>
        <v>37.094760598963553</v>
      </c>
      <c r="P10" s="20">
        <f t="shared" si="3"/>
        <v>0.37094760598963555</v>
      </c>
      <c r="Q10" s="15">
        <f t="shared" si="4"/>
        <v>13.073679867328156</v>
      </c>
      <c r="R10" s="15">
        <f t="shared" si="5"/>
        <v>4.8836021537249321</v>
      </c>
      <c r="S10" s="21">
        <v>0.1471206987476609</v>
      </c>
      <c r="T10" s="20">
        <f t="shared" si="6"/>
        <v>3.8018652454586328</v>
      </c>
      <c r="U10" s="20">
        <f t="shared" si="7"/>
        <v>31.74</v>
      </c>
      <c r="V10" s="21">
        <f t="shared" si="8"/>
        <v>0.13883042049473071</v>
      </c>
      <c r="W10" s="21">
        <f t="shared" si="9"/>
        <v>0.20228293466020245</v>
      </c>
      <c r="X10" s="21">
        <f t="shared" si="10"/>
        <v>0.28835656954541533</v>
      </c>
      <c r="Y10" s="21">
        <f t="shared" si="11"/>
        <v>0.39647455193399678</v>
      </c>
    </row>
    <row r="11" spans="1:25" ht="16" customHeight="1" x14ac:dyDescent="0.2">
      <c r="A11" t="s">
        <v>1048</v>
      </c>
      <c r="B11" t="s">
        <v>1068</v>
      </c>
      <c r="C11" t="s">
        <v>1069</v>
      </c>
      <c r="D11" t="s">
        <v>1005</v>
      </c>
      <c r="E11" t="s">
        <v>1051</v>
      </c>
      <c r="F11" s="15">
        <v>21.685248442201448</v>
      </c>
      <c r="G11" s="15">
        <f t="shared" si="0"/>
        <v>4.6638355978887915</v>
      </c>
      <c r="H11" s="9">
        <v>0.98100000000000009</v>
      </c>
      <c r="I11" s="19">
        <v>488000</v>
      </c>
      <c r="J11" s="11" t="s">
        <v>247</v>
      </c>
      <c r="K11" s="14">
        <v>20</v>
      </c>
      <c r="L11" s="11">
        <v>497.24</v>
      </c>
      <c r="M11" s="13">
        <v>13.036072990262991</v>
      </c>
      <c r="N11" s="11">
        <f t="shared" si="1"/>
        <v>162.95091237828737</v>
      </c>
      <c r="O11" s="20">
        <f t="shared" si="2"/>
        <v>32.771078830803511</v>
      </c>
      <c r="P11" s="20">
        <f t="shared" si="3"/>
        <v>0.32771078830803513</v>
      </c>
      <c r="Q11" s="15">
        <f t="shared" si="4"/>
        <v>7.1064898616494272</v>
      </c>
      <c r="R11" s="15">
        <f t="shared" si="5"/>
        <v>5.1483448592054479</v>
      </c>
      <c r="S11" s="21">
        <v>5.9431998956790938E-2</v>
      </c>
      <c r="T11" s="20">
        <f t="shared" si="6"/>
        <v>4.1700459035654331</v>
      </c>
      <c r="U11" s="20">
        <f t="shared" si="7"/>
        <v>31.74</v>
      </c>
      <c r="V11" s="21">
        <f t="shared" si="8"/>
        <v>0.1390296556128216</v>
      </c>
      <c r="W11" s="21">
        <f t="shared" si="9"/>
        <v>0.15119989298878414</v>
      </c>
      <c r="X11" s="21">
        <f t="shared" si="10"/>
        <v>0.11648671795531024</v>
      </c>
      <c r="Y11" s="21">
        <f t="shared" si="11"/>
        <v>0.29635179025801689</v>
      </c>
    </row>
    <row r="12" spans="1:25" ht="16" customHeight="1" x14ac:dyDescent="0.2">
      <c r="A12" t="s">
        <v>1048</v>
      </c>
      <c r="B12" t="s">
        <v>1070</v>
      </c>
      <c r="C12" t="s">
        <v>1071</v>
      </c>
      <c r="D12" t="s">
        <v>1005</v>
      </c>
      <c r="E12" t="s">
        <v>1051</v>
      </c>
      <c r="F12" s="15">
        <v>1.848675201326613</v>
      </c>
      <c r="G12" s="15">
        <f t="shared" si="0"/>
        <v>5.7331393844937786</v>
      </c>
      <c r="H12" s="9">
        <v>0.72249999999999992</v>
      </c>
      <c r="I12" s="19">
        <v>392000</v>
      </c>
      <c r="J12" s="11" t="s">
        <v>35</v>
      </c>
      <c r="K12" s="14">
        <v>65</v>
      </c>
      <c r="L12" s="11">
        <v>506.42</v>
      </c>
      <c r="M12" s="13">
        <v>26.622573397290999</v>
      </c>
      <c r="N12" s="11">
        <f t="shared" si="1"/>
        <v>332.78216746613748</v>
      </c>
      <c r="O12" s="20">
        <f t="shared" si="2"/>
        <v>65.712682648026828</v>
      </c>
      <c r="P12" s="20">
        <f t="shared" si="3"/>
        <v>0.65712682648026832</v>
      </c>
      <c r="Q12" s="15">
        <f t="shared" si="4"/>
        <v>1.2148140682405284</v>
      </c>
      <c r="R12" s="15">
        <f t="shared" si="5"/>
        <v>5.9154901873465828</v>
      </c>
      <c r="S12" s="21">
        <v>4.3986645700712403E-2</v>
      </c>
      <c r="T12" s="20">
        <f t="shared" si="6"/>
        <v>2.4808049971754706</v>
      </c>
      <c r="U12" s="20">
        <f t="shared" si="7"/>
        <v>31.74</v>
      </c>
      <c r="V12" s="21">
        <f t="shared" si="8"/>
        <v>0.13826547647261886</v>
      </c>
      <c r="W12" s="21">
        <f t="shared" si="9"/>
        <v>0.14509364901400859</v>
      </c>
      <c r="X12" s="21">
        <f t="shared" si="10"/>
        <v>8.621382557339631E-2</v>
      </c>
      <c r="Y12" s="21">
        <f t="shared" si="11"/>
        <v>0.28438355206745686</v>
      </c>
    </row>
    <row r="13" spans="1:25" ht="16" customHeight="1" x14ac:dyDescent="0.2">
      <c r="A13" t="s">
        <v>1048</v>
      </c>
      <c r="B13" t="s">
        <v>1026</v>
      </c>
      <c r="C13" t="s">
        <v>1027</v>
      </c>
      <c r="D13" t="s">
        <v>1042</v>
      </c>
      <c r="E13" t="s">
        <v>1051</v>
      </c>
      <c r="F13" s="15">
        <v>0.57983100986408076</v>
      </c>
      <c r="G13" s="15">
        <f t="shared" si="0"/>
        <v>6.2366985619152677</v>
      </c>
      <c r="H13" s="9">
        <v>1.06</v>
      </c>
      <c r="I13" s="19">
        <v>521000</v>
      </c>
      <c r="J13" s="11" t="s">
        <v>35</v>
      </c>
      <c r="K13" s="14">
        <v>65</v>
      </c>
      <c r="L13" s="11">
        <v>506.42</v>
      </c>
      <c r="M13" s="13">
        <v>26.02756813969528</v>
      </c>
      <c r="N13" s="11">
        <f t="shared" si="1"/>
        <v>325.34460174619102</v>
      </c>
      <c r="O13" s="20">
        <f t="shared" si="2"/>
        <v>64.244027042018686</v>
      </c>
      <c r="P13" s="20">
        <f t="shared" si="3"/>
        <v>0.64244027042018681</v>
      </c>
      <c r="Q13" s="15">
        <f t="shared" si="4"/>
        <v>0.37250679077509002</v>
      </c>
      <c r="R13" s="15">
        <f t="shared" si="5"/>
        <v>6.4288658056827552</v>
      </c>
      <c r="S13" s="21">
        <v>4.7868152251784278E-2</v>
      </c>
      <c r="T13" s="20">
        <f t="shared" si="6"/>
        <v>2.5178575366090725</v>
      </c>
      <c r="U13" s="20">
        <f t="shared" si="7"/>
        <v>31.74</v>
      </c>
      <c r="V13" s="21">
        <f t="shared" si="8"/>
        <v>0.13827810860970355</v>
      </c>
      <c r="W13" s="21">
        <f t="shared" si="9"/>
        <v>0.14632906519443417</v>
      </c>
      <c r="X13" s="21">
        <f t="shared" si="10"/>
        <v>9.3821578413497184E-2</v>
      </c>
      <c r="Y13" s="21">
        <f t="shared" si="11"/>
        <v>0.28680496778109099</v>
      </c>
    </row>
    <row r="14" spans="1:25" ht="16" customHeight="1" x14ac:dyDescent="0.2">
      <c r="A14" t="s">
        <v>1048</v>
      </c>
      <c r="B14" t="s">
        <v>1072</v>
      </c>
      <c r="C14" t="s">
        <v>1073</v>
      </c>
      <c r="D14" t="s">
        <v>1005</v>
      </c>
      <c r="E14" t="s">
        <v>1051</v>
      </c>
      <c r="F14" s="15">
        <v>2.1398598084921381</v>
      </c>
      <c r="G14" s="15">
        <f t="shared" si="0"/>
        <v>5.669614678236151</v>
      </c>
      <c r="H14" s="9">
        <v>1.1200000000000001</v>
      </c>
      <c r="I14" s="19">
        <v>547000</v>
      </c>
      <c r="J14" s="11" t="s">
        <v>247</v>
      </c>
      <c r="K14" s="14">
        <v>20</v>
      </c>
      <c r="L14" s="11">
        <v>506.44</v>
      </c>
      <c r="M14" s="13">
        <v>17.237959866929099</v>
      </c>
      <c r="N14" s="11">
        <f t="shared" si="1"/>
        <v>215.47449833661375</v>
      </c>
      <c r="O14" s="20">
        <f t="shared" si="2"/>
        <v>42.546895651333571</v>
      </c>
      <c r="P14" s="20">
        <f t="shared" si="3"/>
        <v>0.42546895651333572</v>
      </c>
      <c r="Q14" s="15">
        <f t="shared" si="4"/>
        <v>0.91044391980397643</v>
      </c>
      <c r="R14" s="15">
        <f t="shared" si="5"/>
        <v>6.0407468000829692</v>
      </c>
      <c r="S14" s="21">
        <v>5.2374278037983488E-2</v>
      </c>
      <c r="T14" s="20">
        <f t="shared" si="6"/>
        <v>3.3631964532405578</v>
      </c>
      <c r="U14" s="20">
        <f t="shared" si="7"/>
        <v>31.74</v>
      </c>
      <c r="V14" s="21">
        <f t="shared" si="8"/>
        <v>0.13861674978318589</v>
      </c>
      <c r="W14" s="21">
        <f t="shared" si="9"/>
        <v>0.14818120096845741</v>
      </c>
      <c r="X14" s="21">
        <f t="shared" si="10"/>
        <v>0.10265358495444764</v>
      </c>
      <c r="Y14" s="21">
        <f t="shared" si="11"/>
        <v>0.29043515389817653</v>
      </c>
    </row>
    <row r="15" spans="1:25" ht="16" customHeight="1" x14ac:dyDescent="0.2">
      <c r="A15" t="s">
        <v>1048</v>
      </c>
      <c r="B15" t="s">
        <v>1074</v>
      </c>
      <c r="C15" t="s">
        <v>1075</v>
      </c>
      <c r="D15" t="s">
        <v>1005</v>
      </c>
      <c r="E15" t="s">
        <v>1051</v>
      </c>
      <c r="F15" s="15">
        <v>67.729092715021636</v>
      </c>
      <c r="G15" s="15">
        <f t="shared" si="0"/>
        <v>4.1692247420741166</v>
      </c>
      <c r="H15" s="9">
        <v>1.26</v>
      </c>
      <c r="I15" s="19">
        <v>599500</v>
      </c>
      <c r="J15" s="11" t="s">
        <v>35</v>
      </c>
      <c r="K15" s="14">
        <v>65</v>
      </c>
      <c r="L15" s="11">
        <v>497.52</v>
      </c>
      <c r="M15" s="23" t="s">
        <v>82</v>
      </c>
      <c r="N15" s="11" t="str">
        <f t="shared" si="1"/>
        <v>-</v>
      </c>
      <c r="O15" s="24" t="str">
        <f t="shared" si="2"/>
        <v>-</v>
      </c>
      <c r="P15" s="20" t="str">
        <f t="shared" si="3"/>
        <v>-</v>
      </c>
      <c r="Q15" s="15" t="str">
        <f t="shared" si="4"/>
        <v>-</v>
      </c>
      <c r="R15" s="15" t="str">
        <f t="shared" si="5"/>
        <v>-</v>
      </c>
      <c r="S15" s="21">
        <v>0.14657762448614051</v>
      </c>
      <c r="T15" s="20" t="str">
        <f t="shared" si="6"/>
        <v>-</v>
      </c>
      <c r="U15" s="20" t="str">
        <f t="shared" si="7"/>
        <v>-</v>
      </c>
      <c r="V15" s="21" t="str">
        <f t="shared" si="8"/>
        <v>-</v>
      </c>
      <c r="W15" s="21" t="str">
        <f t="shared" si="9"/>
        <v>-</v>
      </c>
      <c r="X15" s="21">
        <f t="shared" si="10"/>
        <v>0.28729214399283537</v>
      </c>
      <c r="Y15" s="21" t="str">
        <f t="shared" si="11"/>
        <v>-</v>
      </c>
    </row>
    <row r="16" spans="1:25" ht="16" customHeight="1" x14ac:dyDescent="0.2">
      <c r="A16" t="s">
        <v>1048</v>
      </c>
      <c r="B16" t="s">
        <v>1076</v>
      </c>
      <c r="C16" t="s">
        <v>1077</v>
      </c>
      <c r="D16" t="s">
        <v>1005</v>
      </c>
      <c r="E16" t="s">
        <v>1051</v>
      </c>
      <c r="F16" s="15">
        <v>50.92877379242497</v>
      </c>
      <c r="G16" s="15">
        <f t="shared" si="0"/>
        <v>4.2930367801677125</v>
      </c>
      <c r="H16" s="9">
        <v>0.98750000000000004</v>
      </c>
      <c r="I16" s="19">
        <v>507000</v>
      </c>
      <c r="J16" s="11" t="s">
        <v>247</v>
      </c>
      <c r="K16" s="14">
        <v>20</v>
      </c>
      <c r="L16" s="11">
        <v>499.06</v>
      </c>
      <c r="M16" s="13">
        <v>34.975496479830767</v>
      </c>
      <c r="N16" s="11">
        <f t="shared" si="1"/>
        <v>437.19370599788459</v>
      </c>
      <c r="O16" s="1">
        <f t="shared" si="2"/>
        <v>87.603435658615112</v>
      </c>
      <c r="P16" s="20">
        <f t="shared" si="3"/>
        <v>0.87603435658615114</v>
      </c>
      <c r="Q16" s="15">
        <f t="shared" si="4"/>
        <v>44.615355580968647</v>
      </c>
      <c r="R16" s="15">
        <f t="shared" si="5"/>
        <v>4.350515641370416</v>
      </c>
      <c r="S16" s="21">
        <v>0.1769138208281083</v>
      </c>
      <c r="T16" s="20">
        <f t="shared" si="6"/>
        <v>2.0937208715502638</v>
      </c>
      <c r="U16" s="20">
        <f t="shared" si="7"/>
        <v>31.74</v>
      </c>
      <c r="V16" s="21">
        <f t="shared" si="8"/>
        <v>0.13814464887969144</v>
      </c>
      <c r="W16" s="21">
        <f t="shared" si="9"/>
        <v>0.22446033951255898</v>
      </c>
      <c r="X16" s="21">
        <f t="shared" si="10"/>
        <v>0.34675108882309225</v>
      </c>
      <c r="Y16" s="21">
        <f t="shared" si="11"/>
        <v>0.43994226544461557</v>
      </c>
    </row>
    <row r="17" spans="1:25" ht="16" customHeight="1" x14ac:dyDescent="0.2">
      <c r="A17" t="s">
        <v>1048</v>
      </c>
      <c r="B17" t="s">
        <v>1078</v>
      </c>
      <c r="C17" t="s">
        <v>1079</v>
      </c>
      <c r="D17" t="s">
        <v>1005</v>
      </c>
      <c r="E17" t="s">
        <v>1051</v>
      </c>
      <c r="F17" s="15">
        <v>10.199509792141971</v>
      </c>
      <c r="G17" s="15">
        <f t="shared" si="0"/>
        <v>4.9914207007560929</v>
      </c>
      <c r="H17" s="9">
        <v>0.74249999999999994</v>
      </c>
      <c r="I17" s="19">
        <v>398000</v>
      </c>
      <c r="J17" s="11" t="s">
        <v>247</v>
      </c>
      <c r="K17" s="14">
        <v>20</v>
      </c>
      <c r="L17" s="11">
        <v>499.06</v>
      </c>
      <c r="M17" s="13">
        <v>24.787907033011258</v>
      </c>
      <c r="N17" s="11">
        <f t="shared" si="1"/>
        <v>309.8488379126407</v>
      </c>
      <c r="O17" s="1">
        <f t="shared" si="2"/>
        <v>62.086490184074194</v>
      </c>
      <c r="P17" s="20">
        <f t="shared" si="3"/>
        <v>0.62086490184074195</v>
      </c>
      <c r="Q17" s="15">
        <f t="shared" si="4"/>
        <v>6.3325176459219108</v>
      </c>
      <c r="R17" s="15">
        <f t="shared" si="5"/>
        <v>5.1984235913493633</v>
      </c>
      <c r="S17" s="21">
        <v>8.9872812908020197E-2</v>
      </c>
      <c r="T17" s="20">
        <f t="shared" si="6"/>
        <v>2.6007681875898214</v>
      </c>
      <c r="U17" s="20">
        <f t="shared" si="7"/>
        <v>31.74</v>
      </c>
      <c r="V17" s="21">
        <f t="shared" si="8"/>
        <v>0.138307048937896</v>
      </c>
      <c r="W17" s="21">
        <f t="shared" si="9"/>
        <v>0.16494229986849815</v>
      </c>
      <c r="X17" s="21">
        <f t="shared" si="10"/>
        <v>0.1761507132997196</v>
      </c>
      <c r="Y17" s="21">
        <f t="shared" si="11"/>
        <v>0.32328690774225638</v>
      </c>
    </row>
    <row r="18" spans="1:25" ht="16" customHeight="1" x14ac:dyDescent="0.2">
      <c r="A18" t="s">
        <v>1048</v>
      </c>
      <c r="B18" t="s">
        <v>1080</v>
      </c>
      <c r="C18" t="s">
        <v>1081</v>
      </c>
      <c r="D18" t="s">
        <v>1005</v>
      </c>
      <c r="E18" t="s">
        <v>1051</v>
      </c>
      <c r="F18" s="15">
        <v>2.7720028860013848</v>
      </c>
      <c r="G18" s="15">
        <f t="shared" si="0"/>
        <v>5.5572063219051717</v>
      </c>
      <c r="H18" s="9">
        <v>0.70350000000000001</v>
      </c>
      <c r="I18" s="19">
        <v>385500</v>
      </c>
      <c r="J18" s="11" t="s">
        <v>247</v>
      </c>
      <c r="K18" s="14">
        <v>20</v>
      </c>
      <c r="L18" s="11">
        <v>499.06</v>
      </c>
      <c r="M18" s="13">
        <v>29.562694655470541</v>
      </c>
      <c r="N18" s="11">
        <f t="shared" si="1"/>
        <v>369.53368319338176</v>
      </c>
      <c r="O18" s="1">
        <f t="shared" si="2"/>
        <v>74.045943011538043</v>
      </c>
      <c r="P18" s="20">
        <f t="shared" si="3"/>
        <v>0.7404594301153804</v>
      </c>
      <c r="Q18" s="15">
        <f t="shared" si="4"/>
        <v>2.052555677246775</v>
      </c>
      <c r="R18" s="15">
        <f t="shared" si="5"/>
        <v>5.6877050534567148</v>
      </c>
      <c r="S18" s="21">
        <v>4.8272688965915293E-2</v>
      </c>
      <c r="T18" s="20">
        <f t="shared" si="6"/>
        <v>2.3196098394574172</v>
      </c>
      <c r="U18" s="20">
        <f t="shared" si="7"/>
        <v>31.74</v>
      </c>
      <c r="V18" s="21">
        <f t="shared" si="8"/>
        <v>0.13821268806691267</v>
      </c>
      <c r="W18" s="21">
        <f t="shared" si="9"/>
        <v>0.14640013539160987</v>
      </c>
      <c r="X18" s="21">
        <f t="shared" si="10"/>
        <v>9.4614470373193968E-2</v>
      </c>
      <c r="Y18" s="21">
        <f t="shared" si="11"/>
        <v>0.28694426536755535</v>
      </c>
    </row>
    <row r="19" spans="1:25" ht="16" customHeight="1" x14ac:dyDescent="0.2">
      <c r="A19" t="s">
        <v>1048</v>
      </c>
      <c r="B19" t="s">
        <v>1082</v>
      </c>
      <c r="C19" t="s">
        <v>1083</v>
      </c>
      <c r="D19" t="s">
        <v>1005</v>
      </c>
      <c r="E19" t="s">
        <v>1051</v>
      </c>
      <c r="F19" s="15">
        <v>1.194152419082253</v>
      </c>
      <c r="G19" s="15">
        <f t="shared" si="0"/>
        <v>5.9229402372420772</v>
      </c>
      <c r="H19" s="9">
        <v>1.105</v>
      </c>
      <c r="I19" s="19">
        <v>541000</v>
      </c>
      <c r="J19" s="11" t="s">
        <v>247</v>
      </c>
      <c r="K19" s="14">
        <v>20</v>
      </c>
      <c r="L19" s="11">
        <v>500.52</v>
      </c>
      <c r="M19" s="13">
        <v>29.784658927827049</v>
      </c>
      <c r="N19" s="11">
        <f t="shared" si="1"/>
        <v>372.30823659783812</v>
      </c>
      <c r="O19" s="1">
        <f t="shared" si="2"/>
        <v>74.384287660400801</v>
      </c>
      <c r="P19" s="20">
        <f t="shared" si="3"/>
        <v>0.74384287660400805</v>
      </c>
      <c r="Q19" s="15">
        <f t="shared" si="4"/>
        <v>0.88826177051377808</v>
      </c>
      <c r="R19" s="15">
        <f t="shared" si="5"/>
        <v>6.0514590288875354</v>
      </c>
      <c r="S19" s="21">
        <v>3.8998878188994113E-2</v>
      </c>
      <c r="T19" s="20">
        <f t="shared" si="6"/>
        <v>2.3087323861777063</v>
      </c>
      <c r="U19" s="20">
        <f t="shared" si="7"/>
        <v>31.74</v>
      </c>
      <c r="V19" s="21">
        <f t="shared" si="8"/>
        <v>0.13820925289243177</v>
      </c>
      <c r="W19" s="21">
        <f t="shared" si="9"/>
        <v>0.14360609348173273</v>
      </c>
      <c r="X19" s="21">
        <f t="shared" si="10"/>
        <v>7.6437801250428455E-2</v>
      </c>
      <c r="Y19" s="21">
        <f t="shared" si="11"/>
        <v>0.28146794322419616</v>
      </c>
    </row>
    <row r="20" spans="1:25" ht="16" customHeight="1" x14ac:dyDescent="0.2">
      <c r="A20" t="s">
        <v>1048</v>
      </c>
      <c r="B20" t="s">
        <v>1084</v>
      </c>
      <c r="C20" t="s">
        <v>1085</v>
      </c>
      <c r="D20" t="s">
        <v>1005</v>
      </c>
      <c r="E20" t="s">
        <v>1051</v>
      </c>
      <c r="F20" s="15">
        <v>2.998149429231304</v>
      </c>
      <c r="G20" s="15">
        <f t="shared" si="0"/>
        <v>5.523146725499303</v>
      </c>
      <c r="H20" s="9">
        <v>1.38</v>
      </c>
      <c r="I20" s="19">
        <v>649000</v>
      </c>
      <c r="J20" s="11" t="s">
        <v>247</v>
      </c>
      <c r="K20" s="14">
        <v>20</v>
      </c>
      <c r="L20" s="11">
        <v>501.98</v>
      </c>
      <c r="M20" s="13">
        <v>19.030856904321961</v>
      </c>
      <c r="N20" s="11">
        <f t="shared" si="1"/>
        <v>237.88571130402451</v>
      </c>
      <c r="O20" s="1">
        <f t="shared" si="2"/>
        <v>47.389479920320433</v>
      </c>
      <c r="P20" s="20">
        <f t="shared" si="3"/>
        <v>0.47389479920320432</v>
      </c>
      <c r="Q20" s="15">
        <f t="shared" si="4"/>
        <v>1.4208074217467705</v>
      </c>
      <c r="R20" s="15">
        <f t="shared" si="5"/>
        <v>5.8474647829736597</v>
      </c>
      <c r="S20" s="21">
        <v>4.6907195610055387E-2</v>
      </c>
      <c r="T20" s="20">
        <f t="shared" si="6"/>
        <v>3.1273703142710567</v>
      </c>
      <c r="U20" s="20">
        <f t="shared" si="7"/>
        <v>31.74</v>
      </c>
      <c r="V20" s="21">
        <f t="shared" si="8"/>
        <v>0.13851257545684881</v>
      </c>
      <c r="W20" s="21">
        <f t="shared" si="9"/>
        <v>0.14623959299618294</v>
      </c>
      <c r="X20" s="21">
        <f t="shared" si="10"/>
        <v>9.1938103395708556E-2</v>
      </c>
      <c r="Y20" s="21">
        <f t="shared" si="11"/>
        <v>0.28662960227251855</v>
      </c>
    </row>
    <row r="21" spans="1:25" ht="16" customHeight="1" x14ac:dyDescent="0.2">
      <c r="A21" t="s">
        <v>1048</v>
      </c>
      <c r="B21" t="s">
        <v>1086</v>
      </c>
      <c r="C21" t="s">
        <v>1087</v>
      </c>
      <c r="D21" t="s">
        <v>1005</v>
      </c>
      <c r="E21" t="s">
        <v>1051</v>
      </c>
      <c r="F21" s="15">
        <v>7.4022293939056034</v>
      </c>
      <c r="G21" s="15">
        <f t="shared" si="0"/>
        <v>5.1306374603157927</v>
      </c>
      <c r="H21" s="9">
        <v>0.89700000000000002</v>
      </c>
      <c r="I21" s="19">
        <v>458500</v>
      </c>
      <c r="J21" s="11" t="s">
        <v>247</v>
      </c>
      <c r="K21" s="14">
        <v>20</v>
      </c>
      <c r="L21" s="11">
        <v>501.98</v>
      </c>
      <c r="M21" s="13">
        <v>25.522877083136269</v>
      </c>
      <c r="N21" s="11">
        <f t="shared" si="1"/>
        <v>319.03596353920335</v>
      </c>
      <c r="O21" s="1">
        <f t="shared" si="2"/>
        <v>63.555512876848354</v>
      </c>
      <c r="P21" s="20">
        <f t="shared" si="3"/>
        <v>0.63555512876848352</v>
      </c>
      <c r="Q21" s="15">
        <f t="shared" si="4"/>
        <v>4.7045248556175299</v>
      </c>
      <c r="R21" s="15">
        <f t="shared" si="5"/>
        <v>5.3274842325988052</v>
      </c>
      <c r="S21" s="21">
        <v>4.7838608884456499E-2</v>
      </c>
      <c r="T21" s="20">
        <f t="shared" si="6"/>
        <v>2.5506401209960181</v>
      </c>
      <c r="U21" s="20">
        <f t="shared" si="7"/>
        <v>31.74</v>
      </c>
      <c r="V21" s="21">
        <f t="shared" si="8"/>
        <v>0.13828944017328559</v>
      </c>
      <c r="W21" s="21">
        <f t="shared" si="9"/>
        <v>0.14633011229217566</v>
      </c>
      <c r="X21" s="21">
        <f t="shared" si="10"/>
        <v>9.376367341353474E-2</v>
      </c>
      <c r="Y21" s="21">
        <f t="shared" si="11"/>
        <v>0.28680702009266429</v>
      </c>
    </row>
    <row r="22" spans="1:25" ht="16" customHeight="1" x14ac:dyDescent="0.2">
      <c r="A22" t="s">
        <v>1048</v>
      </c>
      <c r="B22" t="s">
        <v>1088</v>
      </c>
      <c r="C22" t="s">
        <v>1089</v>
      </c>
      <c r="D22" t="s">
        <v>1005</v>
      </c>
      <c r="E22" t="s">
        <v>1051</v>
      </c>
      <c r="F22" s="15">
        <v>7.9525341872889772</v>
      </c>
      <c r="G22" s="15">
        <f t="shared" si="0"/>
        <v>5.0994944552204053</v>
      </c>
      <c r="H22" s="9">
        <v>1.17</v>
      </c>
      <c r="I22" s="19">
        <v>567000</v>
      </c>
      <c r="J22" s="11" t="s">
        <v>247</v>
      </c>
      <c r="K22" s="14">
        <v>20</v>
      </c>
      <c r="L22" s="11">
        <v>501.98</v>
      </c>
      <c r="M22" s="13">
        <v>31.89110891150499</v>
      </c>
      <c r="N22" s="11">
        <f t="shared" si="1"/>
        <v>398.63886139381236</v>
      </c>
      <c r="O22" s="1">
        <f t="shared" si="2"/>
        <v>79.413295628075289</v>
      </c>
      <c r="P22" s="20">
        <f t="shared" si="3"/>
        <v>0.79413295628075287</v>
      </c>
      <c r="Q22" s="15">
        <f t="shared" si="4"/>
        <v>6.3153694840755499</v>
      </c>
      <c r="R22" s="15">
        <f t="shared" si="5"/>
        <v>5.199601235733982</v>
      </c>
      <c r="S22" s="21">
        <v>6.6183324939141572E-2</v>
      </c>
      <c r="T22" s="20">
        <f t="shared" si="6"/>
        <v>2.2130416932110273</v>
      </c>
      <c r="U22" s="20">
        <f t="shared" si="7"/>
        <v>31.74</v>
      </c>
      <c r="V22" s="21">
        <f t="shared" si="8"/>
        <v>0.13817972540714749</v>
      </c>
      <c r="W22" s="21">
        <f t="shared" si="9"/>
        <v>0.15321184358134549</v>
      </c>
      <c r="X22" s="21">
        <f t="shared" si="10"/>
        <v>0.12971931688071747</v>
      </c>
      <c r="Y22" s="21">
        <f t="shared" si="11"/>
        <v>0.30029521341943716</v>
      </c>
    </row>
    <row r="23" spans="1:25" ht="16" customHeight="1" x14ac:dyDescent="0.2">
      <c r="A23" t="s">
        <v>1048</v>
      </c>
      <c r="B23" t="s">
        <v>1090</v>
      </c>
      <c r="C23" t="s">
        <v>1091</v>
      </c>
      <c r="D23" t="s">
        <v>1005</v>
      </c>
      <c r="E23" t="s">
        <v>1051</v>
      </c>
      <c r="F23" s="15">
        <v>84.342160275866846</v>
      </c>
      <c r="G23" s="15">
        <f t="shared" si="0"/>
        <v>4.0739552794905514</v>
      </c>
      <c r="H23" s="9">
        <v>1.2649999999999999</v>
      </c>
      <c r="I23" s="19">
        <v>597500</v>
      </c>
      <c r="J23" s="11" t="s">
        <v>35</v>
      </c>
      <c r="K23" s="14">
        <v>65</v>
      </c>
      <c r="L23" s="11">
        <v>501.98</v>
      </c>
      <c r="M23" s="13">
        <v>7.1812401578425167</v>
      </c>
      <c r="N23" s="11">
        <f t="shared" si="1"/>
        <v>89.765501973031462</v>
      </c>
      <c r="O23" s="1">
        <f t="shared" si="2"/>
        <v>17.882286539908254</v>
      </c>
      <c r="P23" s="20">
        <f t="shared" si="3"/>
        <v>0.17882286539908254</v>
      </c>
      <c r="Q23" s="15">
        <f t="shared" si="4"/>
        <v>15.082306774479184</v>
      </c>
      <c r="R23" s="15">
        <f t="shared" si="5"/>
        <v>4.8215322298978496</v>
      </c>
      <c r="S23" s="21">
        <v>0.1826013417256292</v>
      </c>
      <c r="T23" s="20">
        <f t="shared" si="6"/>
        <v>6.8687114553433481</v>
      </c>
      <c r="U23" s="20">
        <f t="shared" si="7"/>
        <v>31.74</v>
      </c>
      <c r="V23" s="21">
        <f t="shared" si="8"/>
        <v>0.14103587404375495</v>
      </c>
      <c r="W23" s="21">
        <f t="shared" si="9"/>
        <v>0.23072574144920613</v>
      </c>
      <c r="X23" s="21">
        <f t="shared" si="10"/>
        <v>0.35789862978223319</v>
      </c>
      <c r="Y23" s="21">
        <f t="shared" si="11"/>
        <v>0.45222245324044402</v>
      </c>
    </row>
    <row r="24" spans="1:25" ht="16" customHeight="1" x14ac:dyDescent="0.2">
      <c r="A24" t="s">
        <v>1048</v>
      </c>
      <c r="B24" t="s">
        <v>1092</v>
      </c>
      <c r="C24" t="s">
        <v>1093</v>
      </c>
      <c r="D24" t="s">
        <v>1005</v>
      </c>
      <c r="E24" t="s">
        <v>1051</v>
      </c>
      <c r="F24" s="15">
        <v>26.545809462135441</v>
      </c>
      <c r="G24" s="15">
        <f t="shared" si="0"/>
        <v>4.5760040271667179</v>
      </c>
      <c r="H24" s="9">
        <v>1.4750000000000001</v>
      </c>
      <c r="I24" s="19">
        <v>672000</v>
      </c>
      <c r="J24" s="11" t="s">
        <v>35</v>
      </c>
      <c r="K24" s="14">
        <v>65</v>
      </c>
      <c r="L24" s="11">
        <v>503.44</v>
      </c>
      <c r="M24" s="13">
        <v>16.17093048209825</v>
      </c>
      <c r="N24" s="11">
        <f t="shared" si="1"/>
        <v>202.13663102622812</v>
      </c>
      <c r="O24" s="1">
        <f t="shared" si="2"/>
        <v>40.151086728553175</v>
      </c>
      <c r="P24" s="20">
        <f t="shared" si="3"/>
        <v>0.40151086728553176</v>
      </c>
      <c r="Q24" s="15">
        <f t="shared" si="4"/>
        <v>10.658430979938476</v>
      </c>
      <c r="R24" s="15">
        <f t="shared" si="5"/>
        <v>4.9723067227867164</v>
      </c>
      <c r="S24" s="21">
        <v>0.1075</v>
      </c>
      <c r="T24" s="20">
        <f t="shared" si="6"/>
        <v>3.528368406367739</v>
      </c>
      <c r="U24" s="20">
        <f t="shared" si="7"/>
        <v>31.74</v>
      </c>
      <c r="V24" s="21">
        <f t="shared" si="8"/>
        <v>0.13869417025310285</v>
      </c>
      <c r="W24" s="21">
        <f t="shared" si="9"/>
        <v>0.17547741410847345</v>
      </c>
      <c r="X24" s="21">
        <f t="shared" si="10"/>
        <v>0.2107</v>
      </c>
      <c r="Y24" s="21">
        <f t="shared" si="11"/>
        <v>0.34393573165260793</v>
      </c>
    </row>
    <row r="25" spans="1:25" ht="16" customHeight="1" x14ac:dyDescent="0.2">
      <c r="A25" t="s">
        <v>1048</v>
      </c>
      <c r="B25" t="s">
        <v>1094</v>
      </c>
      <c r="C25" t="s">
        <v>1095</v>
      </c>
      <c r="D25" t="s">
        <v>1005</v>
      </c>
      <c r="E25" t="s">
        <v>1051</v>
      </c>
      <c r="F25" s="15">
        <v>22.68920448142687</v>
      </c>
      <c r="G25" s="15">
        <f t="shared" si="0"/>
        <v>4.644180730883825</v>
      </c>
      <c r="H25" s="9">
        <v>1.125</v>
      </c>
      <c r="I25" s="19">
        <v>553000</v>
      </c>
      <c r="J25" s="11" t="s">
        <v>247</v>
      </c>
      <c r="K25" s="14">
        <v>20</v>
      </c>
      <c r="L25" s="11">
        <v>504.88</v>
      </c>
      <c r="M25" s="13">
        <v>14.85056794356645</v>
      </c>
      <c r="N25" s="11">
        <f t="shared" si="1"/>
        <v>185.63209929458063</v>
      </c>
      <c r="O25" s="1">
        <f t="shared" si="2"/>
        <v>36.767568391415907</v>
      </c>
      <c r="P25" s="20">
        <f t="shared" si="3"/>
        <v>0.36767568391415906</v>
      </c>
      <c r="Q25" s="15">
        <f t="shared" si="4"/>
        <v>8.3422687751768265</v>
      </c>
      <c r="R25" s="15">
        <f t="shared" si="5"/>
        <v>5.0787158219589292</v>
      </c>
      <c r="S25" s="21">
        <v>6.9020087655696283E-2</v>
      </c>
      <c r="T25" s="20">
        <f t="shared" si="6"/>
        <v>3.7656127795229142</v>
      </c>
      <c r="U25" s="20">
        <f t="shared" si="7"/>
        <v>31.74</v>
      </c>
      <c r="V25" s="21">
        <f t="shared" si="8"/>
        <v>0.13881178367258545</v>
      </c>
      <c r="W25" s="21">
        <f t="shared" si="9"/>
        <v>0.15502413936663109</v>
      </c>
      <c r="X25" s="21">
        <f t="shared" si="10"/>
        <v>0.13527937180516472</v>
      </c>
      <c r="Y25" s="21">
        <f t="shared" si="11"/>
        <v>0.30384731315859692</v>
      </c>
    </row>
    <row r="26" spans="1:25" ht="16" customHeight="1" x14ac:dyDescent="0.2">
      <c r="A26" t="s">
        <v>1048</v>
      </c>
      <c r="B26" t="s">
        <v>1096</v>
      </c>
      <c r="C26" t="s">
        <v>1097</v>
      </c>
      <c r="D26" t="s">
        <v>1005</v>
      </c>
      <c r="E26" t="s">
        <v>1051</v>
      </c>
      <c r="F26" s="15">
        <v>30.549959083442278</v>
      </c>
      <c r="G26" s="15">
        <f t="shared" si="0"/>
        <v>4.5149893670858177</v>
      </c>
      <c r="H26" s="9">
        <v>1.365</v>
      </c>
      <c r="I26" s="19">
        <v>638500</v>
      </c>
      <c r="J26" s="11" t="s">
        <v>247</v>
      </c>
      <c r="K26" s="14">
        <v>20</v>
      </c>
      <c r="L26" s="11">
        <v>504.88</v>
      </c>
      <c r="M26" s="13">
        <v>16.4714109633784</v>
      </c>
      <c r="N26" s="11">
        <f t="shared" si="1"/>
        <v>205.89263704223001</v>
      </c>
      <c r="O26" s="1">
        <f t="shared" si="2"/>
        <v>40.780509634414116</v>
      </c>
      <c r="P26" s="20">
        <f t="shared" si="3"/>
        <v>0.40780509634414114</v>
      </c>
      <c r="Q26" s="15">
        <f t="shared" si="4"/>
        <v>12.458429007332748</v>
      </c>
      <c r="R26" s="15">
        <f t="shared" si="5"/>
        <v>4.9045367182275408</v>
      </c>
      <c r="S26" s="21">
        <v>0.121273451340349</v>
      </c>
      <c r="T26" s="20">
        <f t="shared" si="6"/>
        <v>3.4796905714961066</v>
      </c>
      <c r="U26" s="20">
        <f t="shared" si="7"/>
        <v>31.74</v>
      </c>
      <c r="V26" s="21">
        <f t="shared" si="8"/>
        <v>0.13867097250957477</v>
      </c>
      <c r="W26" s="21">
        <f t="shared" si="9"/>
        <v>0.18421967489047211</v>
      </c>
      <c r="X26" s="21">
        <f t="shared" si="10"/>
        <v>0.23769596462708403</v>
      </c>
      <c r="Y26" s="21">
        <f t="shared" si="11"/>
        <v>0.36107056278532534</v>
      </c>
    </row>
    <row r="27" spans="1:25" ht="16" customHeight="1" x14ac:dyDescent="0.2">
      <c r="A27" t="s">
        <v>1048</v>
      </c>
      <c r="B27" t="s">
        <v>1098</v>
      </c>
      <c r="C27" t="s">
        <v>1099</v>
      </c>
      <c r="D27" t="s">
        <v>1005</v>
      </c>
      <c r="E27" t="s">
        <v>1051</v>
      </c>
      <c r="F27" s="15">
        <v>3.1492856332825698</v>
      </c>
      <c r="G27" s="15">
        <f t="shared" si="0"/>
        <v>5.5017879480224545</v>
      </c>
      <c r="H27" s="9">
        <v>1.04</v>
      </c>
      <c r="I27" s="19">
        <v>514500</v>
      </c>
      <c r="J27" s="11" t="s">
        <v>247</v>
      </c>
      <c r="K27" s="14">
        <v>20</v>
      </c>
      <c r="L27" s="11">
        <v>497.1</v>
      </c>
      <c r="M27" s="13">
        <v>21.113008348346021</v>
      </c>
      <c r="N27" s="11">
        <f t="shared" si="1"/>
        <v>263.91260435432525</v>
      </c>
      <c r="O27" s="1">
        <f t="shared" si="2"/>
        <v>53.090445454501157</v>
      </c>
      <c r="P27" s="20">
        <f t="shared" si="3"/>
        <v>0.53090445454501156</v>
      </c>
      <c r="Q27" s="15">
        <f t="shared" si="4"/>
        <v>1.671969771344324</v>
      </c>
      <c r="R27" s="15">
        <f t="shared" si="5"/>
        <v>5.7767715787253699</v>
      </c>
      <c r="S27" s="21">
        <v>4.5327530265832923E-2</v>
      </c>
      <c r="T27" s="20">
        <f t="shared" si="6"/>
        <v>2.9037636971512084</v>
      </c>
      <c r="U27" s="20">
        <f t="shared" si="7"/>
        <v>31.74</v>
      </c>
      <c r="V27" s="21">
        <f t="shared" si="8"/>
        <v>0.13842072589910343</v>
      </c>
      <c r="W27" s="21">
        <f t="shared" si="9"/>
        <v>0.14565329504832605</v>
      </c>
      <c r="X27" s="21">
        <f t="shared" si="10"/>
        <v>8.8841959321032532E-2</v>
      </c>
      <c r="Y27" s="21">
        <f t="shared" si="11"/>
        <v>0.28548045829471907</v>
      </c>
    </row>
    <row r="28" spans="1:25" ht="16" customHeight="1" x14ac:dyDescent="0.2">
      <c r="A28" t="s">
        <v>1048</v>
      </c>
      <c r="B28" t="s">
        <v>1100</v>
      </c>
      <c r="C28" t="s">
        <v>1101</v>
      </c>
      <c r="D28" t="s">
        <v>1005</v>
      </c>
      <c r="E28" t="s">
        <v>1051</v>
      </c>
      <c r="F28" s="15">
        <v>14.94322589001451</v>
      </c>
      <c r="G28" s="15">
        <f t="shared" si="0"/>
        <v>4.825555638464281</v>
      </c>
      <c r="H28" s="9">
        <v>0.82750000000000001</v>
      </c>
      <c r="I28" s="19">
        <v>431500</v>
      </c>
      <c r="J28" s="11" t="s">
        <v>247</v>
      </c>
      <c r="K28" s="14">
        <v>20</v>
      </c>
      <c r="L28" s="11">
        <v>499.94</v>
      </c>
      <c r="M28" s="13">
        <v>1.234245826684691</v>
      </c>
      <c r="N28" s="11">
        <f t="shared" si="1"/>
        <v>15.428072833558637</v>
      </c>
      <c r="O28" s="1">
        <f t="shared" si="2"/>
        <v>3.0859848848979152</v>
      </c>
      <c r="P28" s="20">
        <f t="shared" si="3"/>
        <v>3.0859848848979153E-2</v>
      </c>
      <c r="Q28" s="15">
        <f t="shared" si="4"/>
        <v>0.46114569228199975</v>
      </c>
      <c r="R28" s="15">
        <f t="shared" si="5"/>
        <v>6.3361618438990135</v>
      </c>
      <c r="S28" s="21">
        <v>0.1091718828270356</v>
      </c>
      <c r="T28" s="20">
        <f t="shared" si="6"/>
        <v>35.820620540160348</v>
      </c>
      <c r="U28" s="20">
        <f t="shared" si="7"/>
        <v>31.74</v>
      </c>
      <c r="V28" s="21">
        <f t="shared" si="8"/>
        <v>0.20785174449700378</v>
      </c>
      <c r="W28" s="21">
        <f t="shared" si="9"/>
        <v>0.23477829476007303</v>
      </c>
      <c r="X28" s="21">
        <f t="shared" si="10"/>
        <v>0.21397689034098979</v>
      </c>
      <c r="Y28" s="21">
        <f t="shared" si="11"/>
        <v>0.46016545772974315</v>
      </c>
    </row>
    <row r="29" spans="1:25" ht="16" customHeight="1" x14ac:dyDescent="0.2">
      <c r="A29" t="s">
        <v>1048</v>
      </c>
      <c r="B29" t="s">
        <v>1102</v>
      </c>
      <c r="C29" t="s">
        <v>1103</v>
      </c>
      <c r="D29" t="s">
        <v>1005</v>
      </c>
      <c r="E29" t="s">
        <v>1051</v>
      </c>
      <c r="F29" s="15">
        <v>1.8576867335479359</v>
      </c>
      <c r="G29" s="15">
        <f t="shared" si="0"/>
        <v>5.7310275203542567</v>
      </c>
      <c r="H29" s="9">
        <v>1.2549999999999999</v>
      </c>
      <c r="I29" s="19">
        <v>593500</v>
      </c>
      <c r="J29" s="11" t="s">
        <v>35</v>
      </c>
      <c r="K29" s="14">
        <v>65</v>
      </c>
      <c r="L29" s="11">
        <v>500</v>
      </c>
      <c r="M29" s="13">
        <v>29.83869539506188</v>
      </c>
      <c r="N29" s="11">
        <f t="shared" si="1"/>
        <v>372.98369243827352</v>
      </c>
      <c r="O29" s="1">
        <f t="shared" si="2"/>
        <v>74.596738487654704</v>
      </c>
      <c r="P29" s="20">
        <f t="shared" si="3"/>
        <v>0.74596738487654701</v>
      </c>
      <c r="Q29" s="15">
        <f t="shared" si="4"/>
        <v>1.3857737145446085</v>
      </c>
      <c r="R29" s="15">
        <f t="shared" si="5"/>
        <v>5.8583076806534224</v>
      </c>
      <c r="S29" s="21">
        <v>9.7500000000000003E-2</v>
      </c>
      <c r="T29" s="20">
        <f t="shared" si="6"/>
        <v>2.3061088002909491</v>
      </c>
      <c r="U29" s="20">
        <f t="shared" si="7"/>
        <v>31.74</v>
      </c>
      <c r="V29" s="21">
        <f t="shared" si="8"/>
        <v>0.13820842675014669</v>
      </c>
      <c r="W29" s="21">
        <f t="shared" si="9"/>
        <v>0.1691384616955903</v>
      </c>
      <c r="X29" s="21">
        <f t="shared" si="10"/>
        <v>0.19109999999999999</v>
      </c>
      <c r="Y29" s="21">
        <f t="shared" si="11"/>
        <v>0.33151138492335697</v>
      </c>
    </row>
    <row r="30" spans="1:25" ht="16" customHeight="1" x14ac:dyDescent="0.2">
      <c r="A30" t="s">
        <v>1048</v>
      </c>
      <c r="B30" t="s">
        <v>1104</v>
      </c>
      <c r="C30" t="s">
        <v>1105</v>
      </c>
      <c r="D30" t="s">
        <v>1005</v>
      </c>
      <c r="E30" t="s">
        <v>1051</v>
      </c>
      <c r="F30" s="15">
        <v>2.5814724480420099</v>
      </c>
      <c r="G30" s="15">
        <f t="shared" si="0"/>
        <v>5.5881325058006341</v>
      </c>
      <c r="H30" s="9">
        <v>1.2250000000000001</v>
      </c>
      <c r="I30" s="19">
        <v>587000</v>
      </c>
      <c r="J30" s="11" t="s">
        <v>247</v>
      </c>
      <c r="K30" s="14">
        <v>20</v>
      </c>
      <c r="L30" s="11">
        <v>500</v>
      </c>
      <c r="M30" s="13">
        <v>10.25710518200556</v>
      </c>
      <c r="N30" s="11">
        <f t="shared" si="1"/>
        <v>128.21381477506949</v>
      </c>
      <c r="O30" s="1">
        <f t="shared" si="2"/>
        <v>25.642762955013897</v>
      </c>
      <c r="P30" s="20">
        <f t="shared" si="3"/>
        <v>0.25642762955013898</v>
      </c>
      <c r="Q30" s="15">
        <f t="shared" si="4"/>
        <v>0.66196086060040693</v>
      </c>
      <c r="R30" s="15">
        <f t="shared" si="5"/>
        <v>6.1791676880947035</v>
      </c>
      <c r="S30" s="21">
        <v>6.754822351476017E-2</v>
      </c>
      <c r="T30" s="20">
        <f t="shared" si="6"/>
        <v>5.0668399645252471</v>
      </c>
      <c r="U30" s="20">
        <f t="shared" si="7"/>
        <v>31.74</v>
      </c>
      <c r="V30" s="21">
        <f t="shared" si="8"/>
        <v>0.13959041238817507</v>
      </c>
      <c r="W30" s="21">
        <f t="shared" si="9"/>
        <v>0.15507496809833873</v>
      </c>
      <c r="X30" s="21">
        <f t="shared" si="10"/>
        <v>0.13239451808892994</v>
      </c>
      <c r="Y30" s="21">
        <f t="shared" si="11"/>
        <v>0.30394693747274393</v>
      </c>
    </row>
    <row r="31" spans="1:25" ht="16" customHeight="1" x14ac:dyDescent="0.2">
      <c r="A31" t="s">
        <v>1048</v>
      </c>
      <c r="B31" t="s">
        <v>1106</v>
      </c>
      <c r="C31" t="s">
        <v>1107</v>
      </c>
      <c r="D31" t="s">
        <v>1005</v>
      </c>
      <c r="E31" t="s">
        <v>1051</v>
      </c>
      <c r="F31" s="15">
        <v>2.058275977608448</v>
      </c>
      <c r="G31" s="15">
        <f t="shared" si="0"/>
        <v>5.6864963946285485</v>
      </c>
      <c r="H31" s="9">
        <v>1.35</v>
      </c>
      <c r="I31" s="19">
        <v>634500</v>
      </c>
      <c r="J31" s="11" t="s">
        <v>247</v>
      </c>
      <c r="K31" s="14">
        <v>20</v>
      </c>
      <c r="L31" s="11">
        <v>500</v>
      </c>
      <c r="M31" s="13">
        <v>16.42967082892967</v>
      </c>
      <c r="N31" s="11">
        <f t="shared" si="1"/>
        <v>205.37088536162088</v>
      </c>
      <c r="O31" s="1">
        <f t="shared" si="2"/>
        <v>41.074177072324176</v>
      </c>
      <c r="P31" s="20">
        <f t="shared" si="3"/>
        <v>0.41074177072324175</v>
      </c>
      <c r="Q31" s="15">
        <f t="shared" si="4"/>
        <v>0.84541991968000541</v>
      </c>
      <c r="R31" s="15">
        <f t="shared" si="5"/>
        <v>6.0729275235933615</v>
      </c>
      <c r="S31" s="21">
        <v>4.8969020819289423E-2</v>
      </c>
      <c r="T31" s="20">
        <f t="shared" si="6"/>
        <v>3.4863459839999154</v>
      </c>
      <c r="U31" s="20">
        <f t="shared" si="7"/>
        <v>31.74</v>
      </c>
      <c r="V31" s="21">
        <f t="shared" si="8"/>
        <v>0.13867412539984261</v>
      </c>
      <c r="W31" s="21">
        <f t="shared" si="9"/>
        <v>0.14706623696624346</v>
      </c>
      <c r="X31" s="21">
        <f t="shared" si="10"/>
        <v>9.5979280805807268E-2</v>
      </c>
      <c r="Y31" s="21">
        <f t="shared" si="11"/>
        <v>0.28824982445383718</v>
      </c>
    </row>
    <row r="32" spans="1:25" ht="16" customHeight="1" x14ac:dyDescent="0.2">
      <c r="A32" t="s">
        <v>1048</v>
      </c>
      <c r="B32" t="s">
        <v>1036</v>
      </c>
      <c r="C32" t="s">
        <v>1037</v>
      </c>
      <c r="D32" t="s">
        <v>1005</v>
      </c>
      <c r="E32" t="s">
        <v>1051</v>
      </c>
      <c r="F32" s="15">
        <v>0.48597736572807648</v>
      </c>
      <c r="G32" s="15">
        <f t="shared" si="0"/>
        <v>6.3133839574214683</v>
      </c>
      <c r="H32" s="9">
        <v>1.1100000000000001</v>
      </c>
      <c r="I32" s="19">
        <v>540000</v>
      </c>
      <c r="J32" s="11" t="s">
        <v>247</v>
      </c>
      <c r="K32" s="14">
        <v>20</v>
      </c>
      <c r="L32" s="11">
        <v>500</v>
      </c>
      <c r="M32" s="13">
        <v>24.671332899122099</v>
      </c>
      <c r="N32" s="11">
        <f t="shared" si="1"/>
        <v>308.39166123902623</v>
      </c>
      <c r="O32" s="1">
        <f t="shared" si="2"/>
        <v>61.678332247805244</v>
      </c>
      <c r="P32" s="20">
        <f t="shared" si="3"/>
        <v>0.61678332247805245</v>
      </c>
      <c r="Q32" s="15">
        <f t="shared" si="4"/>
        <v>0.29974273428289461</v>
      </c>
      <c r="R32" s="15">
        <f t="shared" si="5"/>
        <v>6.5232513353319979</v>
      </c>
      <c r="S32" s="21">
        <v>5.3908371335071877E-2</v>
      </c>
      <c r="T32" s="20">
        <f t="shared" si="6"/>
        <v>2.6089934644566952</v>
      </c>
      <c r="U32" s="20">
        <f t="shared" si="7"/>
        <v>31.74</v>
      </c>
      <c r="V32" s="21">
        <f t="shared" si="8"/>
        <v>0.13830997078916171</v>
      </c>
      <c r="W32" s="21">
        <f t="shared" si="9"/>
        <v>0.14844446948168452</v>
      </c>
      <c r="X32" s="21">
        <f t="shared" si="10"/>
        <v>0.10566040781674088</v>
      </c>
      <c r="Y32" s="21">
        <f t="shared" si="11"/>
        <v>0.29095116018410166</v>
      </c>
    </row>
    <row r="33" spans="1:25" ht="16" customHeight="1" x14ac:dyDescent="0.2">
      <c r="A33" t="s">
        <v>1048</v>
      </c>
      <c r="B33" t="s">
        <v>1108</v>
      </c>
      <c r="C33" t="s">
        <v>1109</v>
      </c>
      <c r="D33" t="s">
        <v>1005</v>
      </c>
      <c r="E33" t="s">
        <v>1051</v>
      </c>
      <c r="F33" s="15">
        <v>7.1676495450042834</v>
      </c>
      <c r="G33" s="15">
        <f t="shared" si="0"/>
        <v>5.1446232372175249</v>
      </c>
      <c r="H33" s="9">
        <v>1.23</v>
      </c>
      <c r="I33" s="19">
        <v>595000</v>
      </c>
      <c r="J33" s="11" t="s">
        <v>247</v>
      </c>
      <c r="K33" s="14">
        <v>20</v>
      </c>
      <c r="L33" s="11">
        <v>505.74</v>
      </c>
      <c r="M33" s="13">
        <v>25.758231782607758</v>
      </c>
      <c r="N33" s="11">
        <f t="shared" si="1"/>
        <v>321.97789728259698</v>
      </c>
      <c r="O33" s="1">
        <f t="shared" si="2"/>
        <v>63.664708601771061</v>
      </c>
      <c r="P33" s="20">
        <f t="shared" si="3"/>
        <v>0.63664708601771058</v>
      </c>
      <c r="Q33" s="15">
        <f t="shared" si="4"/>
        <v>4.5632631964231463</v>
      </c>
      <c r="R33" s="15">
        <f t="shared" si="5"/>
        <v>5.3407244815981976</v>
      </c>
      <c r="S33" s="21">
        <v>7.2162334358029184E-2</v>
      </c>
      <c r="T33" s="20">
        <f t="shared" si="6"/>
        <v>2.5351926282896233</v>
      </c>
      <c r="U33" s="20">
        <f t="shared" si="7"/>
        <v>31.74</v>
      </c>
      <c r="V33" s="21">
        <f t="shared" si="8"/>
        <v>0.13828408247695889</v>
      </c>
      <c r="W33" s="21">
        <f t="shared" si="9"/>
        <v>0.15598041532992007</v>
      </c>
      <c r="X33" s="21">
        <f t="shared" si="10"/>
        <v>0.14143817534173719</v>
      </c>
      <c r="Y33" s="21">
        <f t="shared" si="11"/>
        <v>0.30572161404664333</v>
      </c>
    </row>
    <row r="34" spans="1:25" ht="16" customHeight="1" x14ac:dyDescent="0.2">
      <c r="A34" t="s">
        <v>1048</v>
      </c>
      <c r="B34" t="s">
        <v>1110</v>
      </c>
      <c r="C34" t="s">
        <v>1111</v>
      </c>
      <c r="D34" t="s">
        <v>1005</v>
      </c>
      <c r="E34" t="s">
        <v>1051</v>
      </c>
      <c r="F34" s="15">
        <v>4.9720418340959238</v>
      </c>
      <c r="G34" s="15">
        <f t="shared" ref="G34:G65" si="12">IF(F34=0, 0, -LOG10(F34*10^-6))</f>
        <v>5.3034652259192541</v>
      </c>
      <c r="H34" s="9">
        <v>0.93200000000000005</v>
      </c>
      <c r="I34" s="19">
        <v>473000</v>
      </c>
      <c r="J34" s="11" t="s">
        <v>247</v>
      </c>
      <c r="K34" s="14">
        <v>20</v>
      </c>
      <c r="L34" s="11">
        <v>505.74</v>
      </c>
      <c r="M34" s="13">
        <v>28.06901134856782</v>
      </c>
      <c r="N34" s="11">
        <f t="shared" ref="N34:N65" si="13">IF(ISNUMBER(M34),12.5*M34,"-")</f>
        <v>350.86264185709774</v>
      </c>
      <c r="O34" s="1">
        <f t="shared" ref="O34:O65" si="14">IF(OR(N34="-",L34="",L34=0),"-",N34/L34*100)</f>
        <v>69.376090848479009</v>
      </c>
      <c r="P34" s="20">
        <f t="shared" ref="P34:P65" si="15">IF(O34="-","-",O34/100)</f>
        <v>0.69376090848479011</v>
      </c>
      <c r="Q34" s="15">
        <f t="shared" ref="Q34:Q65" si="16">IF(F34="no data","no data",IF(OR(F34="",P34="-",P34=""),"-",F34*P34))</f>
        <v>3.4494082598467704</v>
      </c>
      <c r="R34" s="15">
        <f t="shared" ref="R34:R65" si="17">IF(Q34="no data","no data",IF(Q34="-","-",IF(Q34="","",IF(Q34=0,0,-LOG10(Q34*10^-6)))))</f>
        <v>5.462255401020947</v>
      </c>
      <c r="S34" s="21">
        <v>6.2835101655046272E-2</v>
      </c>
      <c r="T34" s="20">
        <f t="shared" ref="T34:T65" si="18">IF(OR(NOT(ISNUMBER(M34)),M34=0),"-",43.15/M34+0.86)</f>
        <v>2.3972825021926418</v>
      </c>
      <c r="U34" s="20">
        <f t="shared" ref="U34:U65" si="19">IF(T34="-","-",31.74)</f>
        <v>31.74</v>
      </c>
      <c r="V34" s="21">
        <f t="shared" ref="V34:V65" si="20">IF(OR(T34="-",U34="-"),"-",SQRT((T34/100)^2+(U34/100)^2)/LN(10))</f>
        <v>0.13823768435958123</v>
      </c>
      <c r="W34" s="21">
        <f t="shared" ref="W34:W65" si="21">IF(OR(S34="-",V34="-",R34="no data",R34="",R34="-"),"-",SQRT(S34^2+V34^2))</f>
        <v>0.1518483038334614</v>
      </c>
      <c r="X34" s="21">
        <f t="shared" ref="X34:X65" si="22">IF(S34="-","-",S34*1.96)</f>
        <v>0.1231567992438907</v>
      </c>
      <c r="Y34" s="21">
        <f t="shared" ref="Y34:Y65" si="23">IF(W34="-","-",W34*1.96)</f>
        <v>0.29762267551358434</v>
      </c>
    </row>
    <row r="35" spans="1:25" ht="16" customHeight="1" x14ac:dyDescent="0.2">
      <c r="A35" t="s">
        <v>1048</v>
      </c>
      <c r="B35" t="s">
        <v>1112</v>
      </c>
      <c r="C35" t="s">
        <v>1113</v>
      </c>
      <c r="D35" t="s">
        <v>1005</v>
      </c>
      <c r="E35" t="s">
        <v>1051</v>
      </c>
      <c r="F35" s="15">
        <v>5.5975530368188542</v>
      </c>
      <c r="G35" s="15">
        <f t="shared" si="12"/>
        <v>5.2520017827889243</v>
      </c>
      <c r="H35" s="9">
        <v>0.72550000000000003</v>
      </c>
      <c r="I35" s="19">
        <v>397000</v>
      </c>
      <c r="J35" s="11" t="s">
        <v>247</v>
      </c>
      <c r="K35" s="14">
        <v>20</v>
      </c>
      <c r="L35" s="11">
        <v>505.74</v>
      </c>
      <c r="M35" s="13">
        <v>20.544909540010099</v>
      </c>
      <c r="N35" s="11">
        <f t="shared" si="13"/>
        <v>256.81136925012623</v>
      </c>
      <c r="O35" s="1">
        <f t="shared" si="14"/>
        <v>50.779327174066957</v>
      </c>
      <c r="P35" s="20">
        <f t="shared" si="15"/>
        <v>0.50779327174066957</v>
      </c>
      <c r="Q35" s="15">
        <f t="shared" si="16"/>
        <v>2.8423997703081665</v>
      </c>
      <c r="R35" s="15">
        <f t="shared" si="17"/>
        <v>5.5463148406136833</v>
      </c>
      <c r="S35" s="21">
        <v>2.5353944466295571E-2</v>
      </c>
      <c r="T35" s="20">
        <f t="shared" si="18"/>
        <v>2.9602769525934249</v>
      </c>
      <c r="U35" s="20">
        <f t="shared" si="19"/>
        <v>31.74</v>
      </c>
      <c r="V35" s="21">
        <f t="shared" si="20"/>
        <v>0.1384433020233963</v>
      </c>
      <c r="W35" s="21">
        <f t="shared" si="21"/>
        <v>0.14074576503448097</v>
      </c>
      <c r="X35" s="21">
        <f t="shared" si="22"/>
        <v>4.9693731153939318E-2</v>
      </c>
      <c r="Y35" s="21">
        <f t="shared" si="23"/>
        <v>0.27586169946758271</v>
      </c>
    </row>
    <row r="36" spans="1:25" ht="16" customHeight="1" x14ac:dyDescent="0.2">
      <c r="A36" t="s">
        <v>1048</v>
      </c>
      <c r="B36" t="s">
        <v>1114</v>
      </c>
      <c r="C36" t="s">
        <v>1115</v>
      </c>
      <c r="D36" t="s">
        <v>1005</v>
      </c>
      <c r="E36" t="s">
        <v>1051</v>
      </c>
      <c r="F36" s="15">
        <v>0.51226555613275426</v>
      </c>
      <c r="G36" s="15">
        <f t="shared" si="12"/>
        <v>6.2905048443664278</v>
      </c>
      <c r="H36" s="9">
        <v>0.94</v>
      </c>
      <c r="I36" s="19">
        <v>475000</v>
      </c>
      <c r="J36" s="11" t="s">
        <v>247</v>
      </c>
      <c r="K36" s="14">
        <v>20</v>
      </c>
      <c r="L36" s="11">
        <v>493.14</v>
      </c>
      <c r="M36" s="13">
        <v>42.997437371845699</v>
      </c>
      <c r="N36" s="11">
        <f t="shared" si="13"/>
        <v>537.46796714807124</v>
      </c>
      <c r="O36" s="1">
        <f t="shared" si="14"/>
        <v>108.98892143165656</v>
      </c>
      <c r="P36" s="20">
        <f t="shared" si="15"/>
        <v>1.0898892143165657</v>
      </c>
      <c r="Q36" s="15">
        <f t="shared" si="16"/>
        <v>0.55831270449496617</v>
      </c>
      <c r="R36" s="15">
        <f t="shared" si="17"/>
        <v>6.2531224895966728</v>
      </c>
      <c r="S36" s="21">
        <v>4.68194938033294E-2</v>
      </c>
      <c r="T36" s="20">
        <f t="shared" si="18"/>
        <v>1.8635481795539333</v>
      </c>
      <c r="U36" s="20">
        <f t="shared" si="19"/>
        <v>31.74</v>
      </c>
      <c r="V36" s="21">
        <f t="shared" si="20"/>
        <v>0.13808245441859784</v>
      </c>
      <c r="W36" s="21">
        <f t="shared" si="21"/>
        <v>0.14580407819489874</v>
      </c>
      <c r="X36" s="21">
        <f t="shared" si="22"/>
        <v>9.1766207854525619E-2</v>
      </c>
      <c r="Y36" s="21">
        <f t="shared" si="23"/>
        <v>0.28577599326200154</v>
      </c>
    </row>
    <row r="37" spans="1:25" ht="16" customHeight="1" x14ac:dyDescent="0.2">
      <c r="A37" t="s">
        <v>1048</v>
      </c>
      <c r="B37" t="s">
        <v>1116</v>
      </c>
      <c r="C37" t="s">
        <v>1117</v>
      </c>
      <c r="D37" t="s">
        <v>1005</v>
      </c>
      <c r="E37" t="s">
        <v>1051</v>
      </c>
      <c r="F37" s="15">
        <v>1.0601132015025581</v>
      </c>
      <c r="G37" s="15">
        <f t="shared" si="12"/>
        <v>5.9746477572230141</v>
      </c>
      <c r="H37" s="9">
        <v>1.07</v>
      </c>
      <c r="I37" s="19">
        <v>529000</v>
      </c>
      <c r="J37" s="11" t="s">
        <v>247</v>
      </c>
      <c r="K37" s="14">
        <v>20</v>
      </c>
      <c r="L37" s="11">
        <v>494.5</v>
      </c>
      <c r="M37" s="13">
        <v>27.892171476903549</v>
      </c>
      <c r="N37" s="11">
        <f t="shared" si="13"/>
        <v>348.65214346129437</v>
      </c>
      <c r="O37" s="1">
        <f t="shared" si="14"/>
        <v>70.505994633224347</v>
      </c>
      <c r="P37" s="20">
        <f t="shared" si="15"/>
        <v>0.70505994633224345</v>
      </c>
      <c r="Q37" s="15">
        <f t="shared" si="16"/>
        <v>0.74744335695749642</v>
      </c>
      <c r="R37" s="15">
        <f t="shared" si="17"/>
        <v>6.1264217136294699</v>
      </c>
      <c r="S37" s="21">
        <v>4.0487436322889113E-2</v>
      </c>
      <c r="T37" s="20">
        <f t="shared" si="18"/>
        <v>2.4070290664077869</v>
      </c>
      <c r="U37" s="20">
        <f t="shared" si="19"/>
        <v>31.74</v>
      </c>
      <c r="V37" s="21">
        <f t="shared" si="20"/>
        <v>0.13824087876380761</v>
      </c>
      <c r="W37" s="21">
        <f t="shared" si="21"/>
        <v>0.14404781519130982</v>
      </c>
      <c r="X37" s="21">
        <f t="shared" si="22"/>
        <v>7.9355375192862662E-2</v>
      </c>
      <c r="Y37" s="21">
        <f t="shared" si="23"/>
        <v>0.28233371777496724</v>
      </c>
    </row>
    <row r="38" spans="1:25" ht="16" customHeight="1" x14ac:dyDescent="0.2">
      <c r="A38" t="s">
        <v>1048</v>
      </c>
      <c r="B38" t="s">
        <v>1118</v>
      </c>
      <c r="C38" t="s">
        <v>1119</v>
      </c>
      <c r="D38" t="s">
        <v>1005</v>
      </c>
      <c r="E38" t="s">
        <v>1051</v>
      </c>
      <c r="F38" s="15">
        <v>1.6015617378046969</v>
      </c>
      <c r="G38" s="15">
        <f t="shared" si="12"/>
        <v>5.7954563152760823</v>
      </c>
      <c r="H38" s="9">
        <v>1.1100000000000001</v>
      </c>
      <c r="I38" s="19">
        <v>542500</v>
      </c>
      <c r="J38" s="11" t="s">
        <v>247</v>
      </c>
      <c r="K38" s="14">
        <v>20</v>
      </c>
      <c r="L38" s="11">
        <v>494.5</v>
      </c>
      <c r="M38" s="13">
        <v>29.820320629370869</v>
      </c>
      <c r="N38" s="11">
        <f t="shared" si="13"/>
        <v>372.75400786713584</v>
      </c>
      <c r="O38" s="1">
        <f t="shared" si="14"/>
        <v>75.379981368480458</v>
      </c>
      <c r="P38" s="20">
        <f t="shared" si="15"/>
        <v>0.75379981368480453</v>
      </c>
      <c r="Q38" s="15">
        <f t="shared" si="16"/>
        <v>1.2072569395618924</v>
      </c>
      <c r="R38" s="15">
        <f t="shared" si="17"/>
        <v>5.9182002895061832</v>
      </c>
      <c r="S38" s="21">
        <v>3.7905474538646788E-2</v>
      </c>
      <c r="T38" s="20">
        <f t="shared" si="18"/>
        <v>2.3069998675165269</v>
      </c>
      <c r="U38" s="20">
        <f t="shared" si="19"/>
        <v>31.74</v>
      </c>
      <c r="V38" s="21">
        <f t="shared" si="20"/>
        <v>0.13820870723396966</v>
      </c>
      <c r="W38" s="21">
        <f t="shared" si="21"/>
        <v>0.14331249685664241</v>
      </c>
      <c r="X38" s="21">
        <f t="shared" si="22"/>
        <v>7.4294730095747705E-2</v>
      </c>
      <c r="Y38" s="21">
        <f t="shared" si="23"/>
        <v>0.2808924938390191</v>
      </c>
    </row>
    <row r="39" spans="1:25" ht="16" customHeight="1" x14ac:dyDescent="0.2">
      <c r="A39" t="s">
        <v>1048</v>
      </c>
      <c r="B39" t="s">
        <v>1120</v>
      </c>
      <c r="C39" t="s">
        <v>1121</v>
      </c>
      <c r="D39" t="s">
        <v>1005</v>
      </c>
      <c r="E39" t="s">
        <v>1051</v>
      </c>
      <c r="F39" s="15">
        <v>20.517797152715961</v>
      </c>
      <c r="G39" s="15">
        <f t="shared" si="12"/>
        <v>4.6878692681106227</v>
      </c>
      <c r="H39" s="9">
        <v>1.43</v>
      </c>
      <c r="I39" s="19">
        <v>663500</v>
      </c>
      <c r="J39" s="11" t="s">
        <v>35</v>
      </c>
      <c r="K39" s="14">
        <v>65</v>
      </c>
      <c r="L39" s="11">
        <v>494.5</v>
      </c>
      <c r="M39" s="13">
        <v>15.73363982226533</v>
      </c>
      <c r="N39" s="11">
        <f t="shared" si="13"/>
        <v>196.67049777831662</v>
      </c>
      <c r="O39" s="1">
        <f t="shared" si="14"/>
        <v>39.771587012804169</v>
      </c>
      <c r="P39" s="20">
        <f t="shared" si="15"/>
        <v>0.39771587012804166</v>
      </c>
      <c r="Q39" s="15">
        <f t="shared" si="16"/>
        <v>8.1602535477030838</v>
      </c>
      <c r="R39" s="15">
        <f t="shared" si="17"/>
        <v>5.0882963470478977</v>
      </c>
      <c r="S39" s="21">
        <v>8.69234720889588E-2</v>
      </c>
      <c r="T39" s="20">
        <f t="shared" si="18"/>
        <v>3.6025313206252907</v>
      </c>
      <c r="U39" s="20">
        <f t="shared" si="19"/>
        <v>31.74</v>
      </c>
      <c r="V39" s="21">
        <f t="shared" si="20"/>
        <v>0.13873012491821687</v>
      </c>
      <c r="W39" s="21">
        <f t="shared" si="21"/>
        <v>0.1637123622693902</v>
      </c>
      <c r="X39" s="21">
        <f t="shared" si="22"/>
        <v>0.17037000529435925</v>
      </c>
      <c r="Y39" s="21">
        <f t="shared" si="23"/>
        <v>0.32087623004800481</v>
      </c>
    </row>
    <row r="40" spans="1:25" ht="16" customHeight="1" x14ac:dyDescent="0.2">
      <c r="A40" t="s">
        <v>1048</v>
      </c>
      <c r="B40" t="s">
        <v>1122</v>
      </c>
      <c r="C40" t="s">
        <v>1123</v>
      </c>
      <c r="D40" t="s">
        <v>1005</v>
      </c>
      <c r="E40" t="s">
        <v>1051</v>
      </c>
      <c r="F40" s="15">
        <v>21.376622745419802</v>
      </c>
      <c r="G40" s="15">
        <f t="shared" si="12"/>
        <v>4.6700609071199697</v>
      </c>
      <c r="H40" s="9">
        <v>1.1100000000000001</v>
      </c>
      <c r="I40" s="19">
        <v>536000</v>
      </c>
      <c r="J40" s="11" t="s">
        <v>35</v>
      </c>
      <c r="K40" s="14">
        <v>65</v>
      </c>
      <c r="L40" s="11">
        <v>494.5</v>
      </c>
      <c r="M40" s="13">
        <v>12.851063146847769</v>
      </c>
      <c r="N40" s="11">
        <f t="shared" si="13"/>
        <v>160.63828933559711</v>
      </c>
      <c r="O40" s="1">
        <f t="shared" si="14"/>
        <v>32.484992787785053</v>
      </c>
      <c r="P40" s="20">
        <f t="shared" si="15"/>
        <v>0.32484992787785055</v>
      </c>
      <c r="Q40" s="15">
        <f t="shared" si="16"/>
        <v>6.944194357121642</v>
      </c>
      <c r="R40" s="15">
        <f t="shared" si="17"/>
        <v>5.1583781324392532</v>
      </c>
      <c r="S40" s="21">
        <v>8.0481364302551428E-2</v>
      </c>
      <c r="T40" s="20">
        <f t="shared" si="18"/>
        <v>4.2176988539336717</v>
      </c>
      <c r="U40" s="20">
        <f t="shared" si="19"/>
        <v>31.74</v>
      </c>
      <c r="V40" s="21">
        <f t="shared" si="20"/>
        <v>0.13905676525846694</v>
      </c>
      <c r="W40" s="21">
        <f t="shared" si="21"/>
        <v>0.16066746392517803</v>
      </c>
      <c r="X40" s="21">
        <f t="shared" si="22"/>
        <v>0.15774347403300079</v>
      </c>
      <c r="Y40" s="21">
        <f t="shared" si="23"/>
        <v>0.31490822929334894</v>
      </c>
    </row>
    <row r="41" spans="1:25" ht="16" customHeight="1" x14ac:dyDescent="0.2">
      <c r="A41" t="s">
        <v>1048</v>
      </c>
      <c r="B41" t="s">
        <v>1124</v>
      </c>
      <c r="C41" t="s">
        <v>1125</v>
      </c>
      <c r="D41" t="s">
        <v>1005</v>
      </c>
      <c r="E41" t="s">
        <v>1051</v>
      </c>
      <c r="F41" s="15">
        <v>12.465953633797939</v>
      </c>
      <c r="G41" s="15">
        <f t="shared" si="12"/>
        <v>4.9042744927675521</v>
      </c>
      <c r="H41" s="9">
        <v>0.66949999999999998</v>
      </c>
      <c r="I41" s="19">
        <v>373000</v>
      </c>
      <c r="J41" s="11" t="s">
        <v>35</v>
      </c>
      <c r="K41" s="14">
        <v>65</v>
      </c>
      <c r="L41" s="11">
        <v>494.5</v>
      </c>
      <c r="M41" s="13">
        <v>13.87196241860017</v>
      </c>
      <c r="N41" s="11">
        <f t="shared" si="13"/>
        <v>173.39953023250212</v>
      </c>
      <c r="O41" s="1">
        <f t="shared" si="14"/>
        <v>35.065627953994358</v>
      </c>
      <c r="P41" s="20">
        <f t="shared" si="15"/>
        <v>0.3506562795399436</v>
      </c>
      <c r="Q41" s="15">
        <f t="shared" si="16"/>
        <v>4.3712649221450262</v>
      </c>
      <c r="R41" s="15">
        <f t="shared" si="17"/>
        <v>5.359392872133272</v>
      </c>
      <c r="S41" s="21">
        <v>6.6336660301827069E-2</v>
      </c>
      <c r="T41" s="20">
        <f t="shared" si="18"/>
        <v>3.9705908953546816</v>
      </c>
      <c r="U41" s="20">
        <f t="shared" si="19"/>
        <v>31.74</v>
      </c>
      <c r="V41" s="21">
        <f t="shared" si="20"/>
        <v>0.13891947463363122</v>
      </c>
      <c r="W41" s="21">
        <f t="shared" si="21"/>
        <v>0.15394535696955627</v>
      </c>
      <c r="X41" s="21">
        <f t="shared" si="22"/>
        <v>0.13001985419158105</v>
      </c>
      <c r="Y41" s="21">
        <f t="shared" si="23"/>
        <v>0.30173289966033029</v>
      </c>
    </row>
    <row r="42" spans="1:25" ht="16" customHeight="1" x14ac:dyDescent="0.2">
      <c r="A42" t="s">
        <v>1048</v>
      </c>
      <c r="B42" t="s">
        <v>1126</v>
      </c>
      <c r="C42" t="s">
        <v>1127</v>
      </c>
      <c r="D42" t="s">
        <v>1005</v>
      </c>
      <c r="E42" t="s">
        <v>1051</v>
      </c>
      <c r="F42" s="15">
        <v>9.9239105195482118</v>
      </c>
      <c r="G42" s="15">
        <f t="shared" si="12"/>
        <v>5.0033171602645652</v>
      </c>
      <c r="H42" s="9">
        <v>0.92649999999999999</v>
      </c>
      <c r="I42" s="19">
        <v>476500</v>
      </c>
      <c r="J42" s="11" t="s">
        <v>35</v>
      </c>
      <c r="K42" s="14">
        <v>65</v>
      </c>
      <c r="L42" s="11">
        <v>495.88</v>
      </c>
      <c r="M42" s="13">
        <v>15.737713730183181</v>
      </c>
      <c r="N42" s="11">
        <f t="shared" si="13"/>
        <v>196.72142162728977</v>
      </c>
      <c r="O42" s="1">
        <f t="shared" si="14"/>
        <v>39.671174805858229</v>
      </c>
      <c r="P42" s="20">
        <f t="shared" si="15"/>
        <v>0.39671174805858228</v>
      </c>
      <c r="Q42" s="15">
        <f t="shared" si="16"/>
        <v>3.9369318897869245</v>
      </c>
      <c r="R42" s="15">
        <f t="shared" si="17"/>
        <v>5.4048420985817716</v>
      </c>
      <c r="S42" s="21">
        <v>7.0705303902889774E-2</v>
      </c>
      <c r="T42" s="20">
        <f t="shared" si="18"/>
        <v>3.6018213814147035</v>
      </c>
      <c r="U42" s="20">
        <f t="shared" si="19"/>
        <v>31.74</v>
      </c>
      <c r="V42" s="21">
        <f t="shared" si="20"/>
        <v>0.13872977723436256</v>
      </c>
      <c r="W42" s="21">
        <f t="shared" si="21"/>
        <v>0.15570867378375508</v>
      </c>
      <c r="X42" s="21">
        <f t="shared" si="22"/>
        <v>0.13858239564966396</v>
      </c>
      <c r="Y42" s="21">
        <f t="shared" si="23"/>
        <v>0.30518900061615994</v>
      </c>
    </row>
    <row r="43" spans="1:25" ht="16" customHeight="1" x14ac:dyDescent="0.2">
      <c r="A43" t="s">
        <v>1048</v>
      </c>
      <c r="B43" t="s">
        <v>1128</v>
      </c>
      <c r="C43" t="s">
        <v>1129</v>
      </c>
      <c r="D43" t="s">
        <v>1005</v>
      </c>
      <c r="E43" t="s">
        <v>1051</v>
      </c>
      <c r="F43" s="15">
        <v>3.4641016151377562</v>
      </c>
      <c r="G43" s="15">
        <f t="shared" si="12"/>
        <v>5.4604093769761874</v>
      </c>
      <c r="H43" s="9">
        <v>0.9524999999999999</v>
      </c>
      <c r="I43" s="19">
        <v>480500</v>
      </c>
      <c r="J43" s="11" t="s">
        <v>247</v>
      </c>
      <c r="K43" s="14">
        <v>20</v>
      </c>
      <c r="L43" s="11">
        <v>497.26</v>
      </c>
      <c r="M43" s="13">
        <v>26.41938842733099</v>
      </c>
      <c r="N43" s="11">
        <f t="shared" si="13"/>
        <v>330.24235534163739</v>
      </c>
      <c r="O43" s="1">
        <f t="shared" si="14"/>
        <v>66.412411081051644</v>
      </c>
      <c r="P43" s="20">
        <f t="shared" si="15"/>
        <v>0.66412411081051648</v>
      </c>
      <c r="Q43" s="15">
        <f t="shared" si="16"/>
        <v>2.3005934049106362</v>
      </c>
      <c r="R43" s="15">
        <f t="shared" si="17"/>
        <v>5.6381601295307737</v>
      </c>
      <c r="S43" s="21">
        <v>5.4522518283733008E-2</v>
      </c>
      <c r="T43" s="20">
        <f t="shared" si="18"/>
        <v>2.4932702067910513</v>
      </c>
      <c r="U43" s="20">
        <f t="shared" si="19"/>
        <v>31.74</v>
      </c>
      <c r="V43" s="21">
        <f t="shared" si="20"/>
        <v>0.13826970539938141</v>
      </c>
      <c r="W43" s="21">
        <f t="shared" si="21"/>
        <v>0.14863114219850335</v>
      </c>
      <c r="X43" s="21">
        <f t="shared" si="22"/>
        <v>0.10686413583611669</v>
      </c>
      <c r="Y43" s="21">
        <f t="shared" si="23"/>
        <v>0.29131703870906656</v>
      </c>
    </row>
    <row r="44" spans="1:25" ht="16" customHeight="1" x14ac:dyDescent="0.2">
      <c r="A44" t="s">
        <v>1048</v>
      </c>
      <c r="B44" t="s">
        <v>1130</v>
      </c>
      <c r="C44" t="s">
        <v>1131</v>
      </c>
      <c r="D44" t="s">
        <v>1005</v>
      </c>
      <c r="E44" t="s">
        <v>1051</v>
      </c>
      <c r="F44" s="15">
        <v>14.791551642745249</v>
      </c>
      <c r="G44" s="15">
        <f t="shared" si="12"/>
        <v>4.8299862658586701</v>
      </c>
      <c r="H44" s="9">
        <v>1.03</v>
      </c>
      <c r="I44" s="19">
        <v>511000</v>
      </c>
      <c r="J44" s="11" t="s">
        <v>247</v>
      </c>
      <c r="K44" s="14">
        <v>20</v>
      </c>
      <c r="L44" s="11">
        <v>497.26</v>
      </c>
      <c r="M44" s="13">
        <v>15.263316847141549</v>
      </c>
      <c r="N44" s="11">
        <f t="shared" si="13"/>
        <v>190.79146058926938</v>
      </c>
      <c r="O44" s="1">
        <f t="shared" si="14"/>
        <v>38.368551781617136</v>
      </c>
      <c r="P44" s="20">
        <f t="shared" si="15"/>
        <v>0.38368551781617133</v>
      </c>
      <c r="Q44" s="15">
        <f t="shared" si="16"/>
        <v>5.6753041513513507</v>
      </c>
      <c r="R44" s="15">
        <f t="shared" si="17"/>
        <v>5.2460108587667396</v>
      </c>
      <c r="S44" s="21">
        <v>5.7807006495752752E-2</v>
      </c>
      <c r="T44" s="20">
        <f t="shared" si="18"/>
        <v>3.6870395243797187</v>
      </c>
      <c r="U44" s="20">
        <f t="shared" si="19"/>
        <v>31.74</v>
      </c>
      <c r="V44" s="21">
        <f t="shared" si="20"/>
        <v>0.13877199493638762</v>
      </c>
      <c r="W44" s="21">
        <f t="shared" si="21"/>
        <v>0.15033069074086233</v>
      </c>
      <c r="X44" s="21">
        <f t="shared" si="22"/>
        <v>0.11330173273167539</v>
      </c>
      <c r="Y44" s="21">
        <f t="shared" si="23"/>
        <v>0.29464815385209014</v>
      </c>
    </row>
    <row r="45" spans="1:25" ht="16" customHeight="1" x14ac:dyDescent="0.2">
      <c r="A45" t="s">
        <v>1048</v>
      </c>
      <c r="B45" t="s">
        <v>1132</v>
      </c>
      <c r="C45" t="s">
        <v>1133</v>
      </c>
      <c r="D45" t="s">
        <v>1005</v>
      </c>
      <c r="E45" t="s">
        <v>1051</v>
      </c>
      <c r="F45" s="15">
        <v>51.849783027511378</v>
      </c>
      <c r="G45" s="15">
        <f t="shared" si="12"/>
        <v>4.2852530566356286</v>
      </c>
      <c r="H45" s="9">
        <v>0.83050000000000002</v>
      </c>
      <c r="I45" s="19">
        <v>441000</v>
      </c>
      <c r="J45" s="11" t="s">
        <v>35</v>
      </c>
      <c r="K45" s="14">
        <v>65</v>
      </c>
      <c r="L45" s="11">
        <v>502.92</v>
      </c>
      <c r="M45" s="13">
        <v>23.664201492364342</v>
      </c>
      <c r="N45" s="11">
        <f t="shared" si="13"/>
        <v>295.80251865455426</v>
      </c>
      <c r="O45" s="1">
        <f t="shared" si="14"/>
        <v>58.817012378619715</v>
      </c>
      <c r="P45" s="20">
        <f t="shared" si="15"/>
        <v>0.58817012378619715</v>
      </c>
      <c r="Q45" s="15">
        <f t="shared" si="16"/>
        <v>30.49649330157883</v>
      </c>
      <c r="R45" s="15">
        <f t="shared" si="17"/>
        <v>4.515750095975501</v>
      </c>
      <c r="S45" s="21">
        <v>0.14171273760675149</v>
      </c>
      <c r="T45" s="20">
        <f t="shared" si="18"/>
        <v>2.6834293692066087</v>
      </c>
      <c r="U45" s="20">
        <f t="shared" si="19"/>
        <v>31.74</v>
      </c>
      <c r="V45" s="21">
        <f t="shared" si="20"/>
        <v>0.13833682917927401</v>
      </c>
      <c r="W45" s="21">
        <f t="shared" si="21"/>
        <v>0.19803933525281192</v>
      </c>
      <c r="X45" s="21">
        <f t="shared" si="22"/>
        <v>0.27775696570923292</v>
      </c>
      <c r="Y45" s="21">
        <f t="shared" si="23"/>
        <v>0.38815709709551138</v>
      </c>
    </row>
    <row r="46" spans="1:25" ht="16" customHeight="1" x14ac:dyDescent="0.2">
      <c r="A46" t="s">
        <v>1048</v>
      </c>
      <c r="B46" t="s">
        <v>1134</v>
      </c>
      <c r="C46" t="s">
        <v>1135</v>
      </c>
      <c r="D46" t="s">
        <v>1005</v>
      </c>
      <c r="E46" t="s">
        <v>1051</v>
      </c>
      <c r="F46" s="15">
        <v>2.6341602077322479</v>
      </c>
      <c r="G46" s="15">
        <f t="shared" si="12"/>
        <v>5.5793578150924548</v>
      </c>
      <c r="H46" s="9">
        <v>1.0249999999999999</v>
      </c>
      <c r="I46" s="19">
        <v>510000</v>
      </c>
      <c r="J46" s="11" t="s">
        <v>247</v>
      </c>
      <c r="K46" s="14">
        <v>20</v>
      </c>
      <c r="L46" s="11">
        <v>502.92</v>
      </c>
      <c r="M46" s="13">
        <v>33.201071289522083</v>
      </c>
      <c r="N46" s="11">
        <f t="shared" si="13"/>
        <v>415.01339111902604</v>
      </c>
      <c r="O46" s="1">
        <f t="shared" si="14"/>
        <v>82.520757002908212</v>
      </c>
      <c r="P46" s="20">
        <f t="shared" si="15"/>
        <v>0.82520757002908207</v>
      </c>
      <c r="Q46" s="15">
        <f t="shared" si="16"/>
        <v>2.1737289440900303</v>
      </c>
      <c r="R46" s="15">
        <f t="shared" si="17"/>
        <v>5.6627946117792485</v>
      </c>
      <c r="S46" s="21">
        <v>9.7783485313216359E-2</v>
      </c>
      <c r="T46" s="20">
        <f t="shared" si="18"/>
        <v>2.159656858169444</v>
      </c>
      <c r="U46" s="20">
        <f t="shared" si="19"/>
        <v>31.74</v>
      </c>
      <c r="V46" s="21">
        <f t="shared" si="20"/>
        <v>0.1381637928023442</v>
      </c>
      <c r="W46" s="21">
        <f t="shared" si="21"/>
        <v>0.16926560088077286</v>
      </c>
      <c r="X46" s="21">
        <f t="shared" si="22"/>
        <v>0.19165563121390405</v>
      </c>
      <c r="Y46" s="21">
        <f t="shared" si="23"/>
        <v>0.33176057772631479</v>
      </c>
    </row>
    <row r="47" spans="1:25" ht="16" customHeight="1" x14ac:dyDescent="0.2">
      <c r="A47" t="s">
        <v>1048</v>
      </c>
      <c r="B47" t="s">
        <v>1136</v>
      </c>
      <c r="C47" t="s">
        <v>1137</v>
      </c>
      <c r="D47" t="s">
        <v>1005</v>
      </c>
      <c r="E47" t="s">
        <v>1051</v>
      </c>
      <c r="F47" s="15">
        <v>181.4166475271771</v>
      </c>
      <c r="G47" s="15">
        <f t="shared" si="12"/>
        <v>3.7413228628246755</v>
      </c>
      <c r="H47" s="9">
        <v>1.0794999999999999</v>
      </c>
      <c r="I47" s="19">
        <v>525500</v>
      </c>
      <c r="J47" s="11" t="s">
        <v>247</v>
      </c>
      <c r="K47" s="14">
        <v>20</v>
      </c>
      <c r="L47" s="11">
        <v>505.56</v>
      </c>
      <c r="M47" s="13">
        <v>1.8267249588568371</v>
      </c>
      <c r="N47" s="11">
        <f t="shared" si="13"/>
        <v>22.834061985710463</v>
      </c>
      <c r="O47" s="1">
        <f t="shared" si="14"/>
        <v>4.5165879392575485</v>
      </c>
      <c r="P47" s="20">
        <f t="shared" si="15"/>
        <v>4.5165879392575485E-2</v>
      </c>
      <c r="Q47" s="15">
        <f t="shared" si="16"/>
        <v>8.193842422017859</v>
      </c>
      <c r="R47" s="15">
        <f t="shared" si="17"/>
        <v>5.0865123923362763</v>
      </c>
      <c r="S47" s="21">
        <v>0.19716046763994041</v>
      </c>
      <c r="T47" s="20">
        <f t="shared" si="18"/>
        <v>24.481508969255685</v>
      </c>
      <c r="U47" s="20">
        <f t="shared" si="19"/>
        <v>31.74</v>
      </c>
      <c r="V47" s="21">
        <f t="shared" si="20"/>
        <v>0.17408502843829307</v>
      </c>
      <c r="W47" s="21">
        <f t="shared" si="21"/>
        <v>0.26301681909406727</v>
      </c>
      <c r="X47" s="21">
        <f t="shared" si="22"/>
        <v>0.38643451657428318</v>
      </c>
      <c r="Y47" s="21">
        <f t="shared" si="23"/>
        <v>0.51551296542437186</v>
      </c>
    </row>
    <row r="48" spans="1:25" ht="16" customHeight="1" x14ac:dyDescent="0.2">
      <c r="A48" t="s">
        <v>1048</v>
      </c>
      <c r="B48" t="s">
        <v>1138</v>
      </c>
      <c r="C48" t="s">
        <v>1139</v>
      </c>
      <c r="D48" t="s">
        <v>1005</v>
      </c>
      <c r="E48" t="s">
        <v>1051</v>
      </c>
      <c r="F48" s="15">
        <v>17.972200755611428</v>
      </c>
      <c r="G48" s="15">
        <f t="shared" si="12"/>
        <v>4.7453987388344485</v>
      </c>
      <c r="H48" s="9">
        <v>0.93049999999999999</v>
      </c>
      <c r="I48" s="19">
        <v>471000</v>
      </c>
      <c r="J48" s="11" t="s">
        <v>35</v>
      </c>
      <c r="K48" s="14">
        <v>65</v>
      </c>
      <c r="L48" s="11">
        <v>505.72</v>
      </c>
      <c r="M48" s="13">
        <v>29.699239847987929</v>
      </c>
      <c r="N48" s="11">
        <f t="shared" si="13"/>
        <v>371.24049809984911</v>
      </c>
      <c r="O48" s="1">
        <f t="shared" si="14"/>
        <v>73.408308569929829</v>
      </c>
      <c r="P48" s="20">
        <f t="shared" si="15"/>
        <v>0.73408308569929825</v>
      </c>
      <c r="Q48" s="15">
        <f t="shared" si="16"/>
        <v>13.193088587486496</v>
      </c>
      <c r="R48" s="15">
        <f t="shared" si="17"/>
        <v>4.8796535213998151</v>
      </c>
      <c r="S48" s="21">
        <v>0.1155703249108524</v>
      </c>
      <c r="T48" s="20">
        <f t="shared" si="18"/>
        <v>2.312899138862079</v>
      </c>
      <c r="U48" s="20">
        <f t="shared" si="19"/>
        <v>31.74</v>
      </c>
      <c r="V48" s="21">
        <f t="shared" si="20"/>
        <v>0.13821056688371422</v>
      </c>
      <c r="W48" s="21">
        <f t="shared" si="21"/>
        <v>0.18016287297419975</v>
      </c>
      <c r="X48" s="21">
        <f t="shared" si="22"/>
        <v>0.22651783682527069</v>
      </c>
      <c r="Y48" s="21">
        <f t="shared" si="23"/>
        <v>0.35311923102943149</v>
      </c>
    </row>
    <row r="49" spans="1:25" ht="16" customHeight="1" x14ac:dyDescent="0.2">
      <c r="A49" t="s">
        <v>1048</v>
      </c>
      <c r="B49" t="s">
        <v>1140</v>
      </c>
      <c r="C49" t="s">
        <v>1141</v>
      </c>
      <c r="D49" t="s">
        <v>1005</v>
      </c>
      <c r="E49" t="s">
        <v>1051</v>
      </c>
      <c r="F49" s="15">
        <v>0.99699548644916081</v>
      </c>
      <c r="G49" s="15">
        <f t="shared" si="12"/>
        <v>6.0013068078013436</v>
      </c>
      <c r="H49" s="9">
        <v>0.85949999999999993</v>
      </c>
      <c r="I49" s="19">
        <v>443500</v>
      </c>
      <c r="J49" s="11" t="s">
        <v>35</v>
      </c>
      <c r="K49" s="14">
        <v>65</v>
      </c>
      <c r="L49" s="11">
        <v>505.72</v>
      </c>
      <c r="M49" s="13">
        <v>29.58601706812842</v>
      </c>
      <c r="N49" s="11">
        <f t="shared" si="13"/>
        <v>369.82521335160527</v>
      </c>
      <c r="O49" s="1">
        <f t="shared" si="14"/>
        <v>73.128453166100854</v>
      </c>
      <c r="P49" s="20">
        <f t="shared" si="15"/>
        <v>0.7312845316610086</v>
      </c>
      <c r="Q49" s="15">
        <f t="shared" si="16"/>
        <v>0.72908737737611395</v>
      </c>
      <c r="R49" s="15">
        <f t="shared" si="17"/>
        <v>6.1372204206006931</v>
      </c>
      <c r="S49" s="21">
        <v>7.2884171807052867E-2</v>
      </c>
      <c r="T49" s="20">
        <f t="shared" si="18"/>
        <v>2.3184592410880271</v>
      </c>
      <c r="U49" s="20">
        <f t="shared" si="19"/>
        <v>31.74</v>
      </c>
      <c r="V49" s="21">
        <f t="shared" si="20"/>
        <v>0.13821232394044131</v>
      </c>
      <c r="W49" s="21">
        <f t="shared" si="21"/>
        <v>0.15625219674941368</v>
      </c>
      <c r="X49" s="21">
        <f t="shared" si="22"/>
        <v>0.14285297674182362</v>
      </c>
      <c r="Y49" s="21">
        <f t="shared" si="23"/>
        <v>0.30625430562885081</v>
      </c>
    </row>
    <row r="50" spans="1:25" ht="16" customHeight="1" x14ac:dyDescent="0.2">
      <c r="A50" t="s">
        <v>1048</v>
      </c>
      <c r="B50" t="s">
        <v>1142</v>
      </c>
      <c r="C50" t="s">
        <v>1143</v>
      </c>
      <c r="D50" t="s">
        <v>1005</v>
      </c>
      <c r="E50" t="s">
        <v>1051</v>
      </c>
      <c r="F50" s="15">
        <v>1.85612499579096</v>
      </c>
      <c r="G50" s="15">
        <f t="shared" si="12"/>
        <v>5.7313927807279352</v>
      </c>
      <c r="H50" s="9">
        <v>0.92849999999999999</v>
      </c>
      <c r="I50" s="19">
        <v>472500</v>
      </c>
      <c r="J50" s="11" t="s">
        <v>35</v>
      </c>
      <c r="K50" s="14">
        <v>65</v>
      </c>
      <c r="L50" s="11">
        <v>505.72</v>
      </c>
      <c r="M50" s="13">
        <v>33.63732745485008</v>
      </c>
      <c r="N50" s="11">
        <f t="shared" si="13"/>
        <v>420.46659318562598</v>
      </c>
      <c r="O50" s="1">
        <f t="shared" si="14"/>
        <v>83.14217218730245</v>
      </c>
      <c r="P50" s="20">
        <f t="shared" si="15"/>
        <v>0.83142172187302454</v>
      </c>
      <c r="Q50" s="15">
        <f t="shared" si="16"/>
        <v>1.5432226400120803</v>
      </c>
      <c r="R50" s="15">
        <f t="shared" si="17"/>
        <v>5.81157141395399</v>
      </c>
      <c r="S50" s="21">
        <v>6.2368341327952603E-2</v>
      </c>
      <c r="T50" s="20">
        <f t="shared" si="18"/>
        <v>2.1428010803747224</v>
      </c>
      <c r="U50" s="20">
        <f t="shared" si="19"/>
        <v>31.74</v>
      </c>
      <c r="V50" s="21">
        <f t="shared" si="20"/>
        <v>0.1381588426611004</v>
      </c>
      <c r="W50" s="21">
        <f t="shared" si="21"/>
        <v>0.15158389032299802</v>
      </c>
      <c r="X50" s="21">
        <f t="shared" si="22"/>
        <v>0.12224194900278711</v>
      </c>
      <c r="Y50" s="21">
        <f t="shared" si="23"/>
        <v>0.2971044250330761</v>
      </c>
    </row>
    <row r="51" spans="1:25" ht="16" customHeight="1" x14ac:dyDescent="0.2">
      <c r="A51" t="s">
        <v>1048</v>
      </c>
      <c r="B51" t="s">
        <v>1144</v>
      </c>
      <c r="C51" t="s">
        <v>1145</v>
      </c>
      <c r="D51" t="s">
        <v>1005</v>
      </c>
      <c r="E51" t="s">
        <v>1051</v>
      </c>
      <c r="F51" s="15">
        <v>3.2897568299191979</v>
      </c>
      <c r="G51" s="15">
        <f t="shared" si="12"/>
        <v>5.4828362027574027</v>
      </c>
      <c r="H51" s="9">
        <v>1.095</v>
      </c>
      <c r="I51" s="19">
        <v>537000</v>
      </c>
      <c r="J51" s="11" t="s">
        <v>35</v>
      </c>
      <c r="K51" s="14">
        <v>65</v>
      </c>
      <c r="L51" s="11">
        <v>494</v>
      </c>
      <c r="M51" s="13">
        <v>27.239532057285331</v>
      </c>
      <c r="N51" s="11">
        <f t="shared" si="13"/>
        <v>340.49415071606666</v>
      </c>
      <c r="O51" s="1">
        <f t="shared" si="14"/>
        <v>68.925941440499329</v>
      </c>
      <c r="P51" s="20">
        <f t="shared" si="15"/>
        <v>0.68925941440499328</v>
      </c>
      <c r="Q51" s="15">
        <f t="shared" si="16"/>
        <v>2.2674958661249334</v>
      </c>
      <c r="R51" s="15">
        <f t="shared" si="17"/>
        <v>5.6444534960300574</v>
      </c>
      <c r="S51" s="21">
        <v>6.9967206604237095E-2</v>
      </c>
      <c r="T51" s="20">
        <f t="shared" si="18"/>
        <v>2.4440947601175602</v>
      </c>
      <c r="U51" s="20">
        <f t="shared" si="19"/>
        <v>31.74</v>
      </c>
      <c r="V51" s="21">
        <f t="shared" si="20"/>
        <v>0.13825314460584395</v>
      </c>
      <c r="W51" s="21">
        <f t="shared" si="21"/>
        <v>0.15494948206884848</v>
      </c>
      <c r="X51" s="21">
        <f t="shared" si="22"/>
        <v>0.1371357249443047</v>
      </c>
      <c r="Y51" s="21">
        <f t="shared" si="23"/>
        <v>0.30370098485494301</v>
      </c>
    </row>
    <row r="52" spans="1:25" ht="16" customHeight="1" x14ac:dyDescent="0.2">
      <c r="A52" t="s">
        <v>1048</v>
      </c>
      <c r="B52" t="s">
        <v>1146</v>
      </c>
      <c r="C52" t="s">
        <v>1147</v>
      </c>
      <c r="D52" t="s">
        <v>1005</v>
      </c>
      <c r="E52" t="s">
        <v>1051</v>
      </c>
      <c r="F52" s="15">
        <v>1.4029967925836471</v>
      </c>
      <c r="G52" s="15">
        <f t="shared" si="12"/>
        <v>5.8529433218189784</v>
      </c>
      <c r="H52" s="9">
        <v>1.075</v>
      </c>
      <c r="I52" s="19">
        <v>529000</v>
      </c>
      <c r="J52" s="11" t="s">
        <v>35</v>
      </c>
      <c r="K52" s="14">
        <v>65</v>
      </c>
      <c r="L52" s="11">
        <v>498.04</v>
      </c>
      <c r="M52" s="13">
        <v>40.382637996479879</v>
      </c>
      <c r="N52" s="11">
        <f t="shared" si="13"/>
        <v>504.7829749559985</v>
      </c>
      <c r="O52" s="1">
        <f t="shared" si="14"/>
        <v>101.35390228816932</v>
      </c>
      <c r="P52" s="20">
        <f t="shared" si="15"/>
        <v>1.0135390228816932</v>
      </c>
      <c r="Q52" s="15">
        <f t="shared" si="16"/>
        <v>1.4219919982613791</v>
      </c>
      <c r="R52" s="15">
        <f t="shared" si="17"/>
        <v>5.847102847432347</v>
      </c>
      <c r="S52" s="21">
        <v>8.0575492552016084E-2</v>
      </c>
      <c r="T52" s="20">
        <f t="shared" si="18"/>
        <v>1.9285285097957532</v>
      </c>
      <c r="U52" s="20">
        <f t="shared" si="19"/>
        <v>31.74</v>
      </c>
      <c r="V52" s="21">
        <f t="shared" si="20"/>
        <v>0.13809928242590996</v>
      </c>
      <c r="W52" s="21">
        <f t="shared" si="21"/>
        <v>0.15988690317393495</v>
      </c>
      <c r="X52" s="21">
        <f t="shared" si="22"/>
        <v>0.15792796540195153</v>
      </c>
      <c r="Y52" s="21">
        <f t="shared" si="23"/>
        <v>0.31337833022091249</v>
      </c>
    </row>
    <row r="53" spans="1:25" ht="16" customHeight="1" x14ac:dyDescent="0.2">
      <c r="A53" t="s">
        <v>1048</v>
      </c>
      <c r="B53" t="s">
        <v>1148</v>
      </c>
      <c r="C53" t="s">
        <v>1149</v>
      </c>
      <c r="D53" t="s">
        <v>1005</v>
      </c>
      <c r="E53" t="s">
        <v>1051</v>
      </c>
      <c r="F53" s="15">
        <v>21.924871721403541</v>
      </c>
      <c r="G53" s="15">
        <f t="shared" si="12"/>
        <v>4.6590629389356764</v>
      </c>
      <c r="H53" s="9">
        <v>0.97799999999999998</v>
      </c>
      <c r="I53" s="19">
        <v>489000</v>
      </c>
      <c r="J53" s="11" t="s">
        <v>35</v>
      </c>
      <c r="K53" s="14">
        <v>65</v>
      </c>
      <c r="L53" s="11">
        <v>498.1</v>
      </c>
      <c r="M53" s="13">
        <v>7.2222299258108942</v>
      </c>
      <c r="N53" s="11">
        <f t="shared" si="13"/>
        <v>90.27787407263618</v>
      </c>
      <c r="O53" s="1">
        <f t="shared" si="14"/>
        <v>18.124447715847456</v>
      </c>
      <c r="P53" s="20">
        <f t="shared" si="15"/>
        <v>0.18124447715847455</v>
      </c>
      <c r="Q53" s="15">
        <f t="shared" si="16"/>
        <v>3.9737619119124088</v>
      </c>
      <c r="R53" s="15">
        <f t="shared" si="17"/>
        <v>5.4007981572161894</v>
      </c>
      <c r="S53" s="21">
        <v>9.5700052246589715E-2</v>
      </c>
      <c r="T53" s="20">
        <f t="shared" si="18"/>
        <v>6.8346090117942655</v>
      </c>
      <c r="U53" s="20">
        <f t="shared" si="19"/>
        <v>31.74</v>
      </c>
      <c r="V53" s="21">
        <f t="shared" si="20"/>
        <v>0.14100462271664763</v>
      </c>
      <c r="W53" s="21">
        <f t="shared" si="21"/>
        <v>0.17041362512271177</v>
      </c>
      <c r="X53" s="21">
        <f t="shared" si="22"/>
        <v>0.18757210240331584</v>
      </c>
      <c r="Y53" s="21">
        <f t="shared" si="23"/>
        <v>0.33401070524051507</v>
      </c>
    </row>
    <row r="54" spans="1:25" ht="16" customHeight="1" x14ac:dyDescent="0.2">
      <c r="A54" t="s">
        <v>1048</v>
      </c>
      <c r="B54" t="s">
        <v>1150</v>
      </c>
      <c r="C54" t="s">
        <v>1151</v>
      </c>
      <c r="D54" t="s">
        <v>1005</v>
      </c>
      <c r="E54" t="s">
        <v>1051</v>
      </c>
      <c r="F54" s="15">
        <v>70.583284140085155</v>
      </c>
      <c r="G54" s="15">
        <f t="shared" si="12"/>
        <v>4.1512981383997563</v>
      </c>
      <c r="H54" s="9">
        <v>0.96399999999999997</v>
      </c>
      <c r="I54" s="19">
        <v>492000</v>
      </c>
      <c r="J54" s="11" t="s">
        <v>35</v>
      </c>
      <c r="K54" s="14">
        <v>65</v>
      </c>
      <c r="L54" s="11">
        <v>499.38</v>
      </c>
      <c r="M54" s="13">
        <v>22.23079502008768</v>
      </c>
      <c r="N54" s="11">
        <f t="shared" si="13"/>
        <v>277.884937751096</v>
      </c>
      <c r="O54" s="1">
        <f t="shared" si="14"/>
        <v>55.645988576053504</v>
      </c>
      <c r="P54" s="20">
        <f t="shared" si="15"/>
        <v>0.55645988576053507</v>
      </c>
      <c r="Q54" s="15">
        <f t="shared" si="16"/>
        <v>39.276766229195175</v>
      </c>
      <c r="R54" s="15">
        <f t="shared" si="17"/>
        <v>4.4058642761455058</v>
      </c>
      <c r="S54" s="21">
        <v>0.18874122496158599</v>
      </c>
      <c r="T54" s="20">
        <f t="shared" si="18"/>
        <v>2.8010012085042297</v>
      </c>
      <c r="U54" s="20">
        <f t="shared" si="19"/>
        <v>31.74</v>
      </c>
      <c r="V54" s="21">
        <f t="shared" si="20"/>
        <v>0.13838077996887158</v>
      </c>
      <c r="W54" s="21">
        <f t="shared" si="21"/>
        <v>0.23403523295605141</v>
      </c>
      <c r="X54" s="21">
        <f t="shared" si="22"/>
        <v>0.36993280092470854</v>
      </c>
      <c r="Y54" s="21">
        <f t="shared" si="23"/>
        <v>0.45870905659386074</v>
      </c>
    </row>
    <row r="55" spans="1:25" ht="16" customHeight="1" x14ac:dyDescent="0.2">
      <c r="A55" t="s">
        <v>1048</v>
      </c>
      <c r="B55" t="s">
        <v>1040</v>
      </c>
      <c r="C55" t="s">
        <v>1041</v>
      </c>
      <c r="D55" t="s">
        <v>1042</v>
      </c>
      <c r="E55" t="s">
        <v>1051</v>
      </c>
      <c r="F55" s="15">
        <v>0.62146600872453162</v>
      </c>
      <c r="G55" s="15">
        <f t="shared" si="12"/>
        <v>6.2065826202436938</v>
      </c>
      <c r="H55" s="9">
        <v>1.145</v>
      </c>
      <c r="I55" s="19">
        <v>552000</v>
      </c>
      <c r="J55" s="11" t="s">
        <v>247</v>
      </c>
      <c r="K55" s="14">
        <v>20</v>
      </c>
      <c r="L55" s="11">
        <v>499.44</v>
      </c>
      <c r="M55" s="13">
        <v>21.300468151519429</v>
      </c>
      <c r="N55" s="11">
        <f t="shared" si="13"/>
        <v>266.25585189399288</v>
      </c>
      <c r="O55" s="1">
        <f t="shared" si="14"/>
        <v>53.310878562788901</v>
      </c>
      <c r="P55" s="20">
        <f t="shared" si="15"/>
        <v>0.53310878562788899</v>
      </c>
      <c r="Q55" s="15">
        <f t="shared" si="16"/>
        <v>0.33130898922014612</v>
      </c>
      <c r="R55" s="15">
        <f t="shared" si="17"/>
        <v>6.4797667804906824</v>
      </c>
      <c r="S55" s="21">
        <v>5.1331958856057701E-2</v>
      </c>
      <c r="T55" s="20">
        <f t="shared" si="18"/>
        <v>2.8857770718021505</v>
      </c>
      <c r="U55" s="20">
        <f t="shared" si="19"/>
        <v>31.74</v>
      </c>
      <c r="V55" s="21">
        <f t="shared" si="20"/>
        <v>0.13841363106181587</v>
      </c>
      <c r="W55" s="21">
        <f t="shared" si="21"/>
        <v>0.1476255508498325</v>
      </c>
      <c r="X55" s="21">
        <f t="shared" si="22"/>
        <v>0.10061063935787309</v>
      </c>
      <c r="Y55" s="21">
        <f t="shared" si="23"/>
        <v>0.28934607966567172</v>
      </c>
    </row>
    <row r="56" spans="1:25" ht="16" customHeight="1" x14ac:dyDescent="0.2">
      <c r="A56" t="s">
        <v>1048</v>
      </c>
      <c r="B56" t="s">
        <v>1152</v>
      </c>
      <c r="C56" t="s">
        <v>1153</v>
      </c>
      <c r="D56" t="s">
        <v>1005</v>
      </c>
      <c r="E56" t="s">
        <v>1051</v>
      </c>
      <c r="F56" s="15">
        <v>110.8025270469948</v>
      </c>
      <c r="G56" s="15">
        <f t="shared" si="12"/>
        <v>3.9554503346432366</v>
      </c>
      <c r="H56" s="9">
        <v>0.96000000000000008</v>
      </c>
      <c r="I56" s="19">
        <v>491500</v>
      </c>
      <c r="J56" s="11" t="s">
        <v>247</v>
      </c>
      <c r="K56" s="14">
        <v>20</v>
      </c>
      <c r="L56" s="11">
        <v>499.44</v>
      </c>
      <c r="M56" s="13">
        <v>34.382097559292923</v>
      </c>
      <c r="N56" s="11">
        <f t="shared" si="13"/>
        <v>429.77621949116156</v>
      </c>
      <c r="O56" s="1">
        <f t="shared" si="14"/>
        <v>86.05162171455261</v>
      </c>
      <c r="P56" s="20">
        <f t="shared" si="15"/>
        <v>0.86051621714552606</v>
      </c>
      <c r="Q56" s="15">
        <f t="shared" si="16"/>
        <v>95.347371424644805</v>
      </c>
      <c r="R56" s="15">
        <f t="shared" si="17"/>
        <v>4.0206912752609503</v>
      </c>
      <c r="S56" s="21">
        <v>0.18480327378052591</v>
      </c>
      <c r="T56" s="20">
        <f t="shared" si="18"/>
        <v>2.1150135990274177</v>
      </c>
      <c r="U56" s="20">
        <f t="shared" si="19"/>
        <v>31.74</v>
      </c>
      <c r="V56" s="21">
        <f t="shared" si="20"/>
        <v>0.13815076643305846</v>
      </c>
      <c r="W56" s="21">
        <f t="shared" si="21"/>
        <v>0.23073336184011511</v>
      </c>
      <c r="X56" s="21">
        <f t="shared" si="22"/>
        <v>0.36221441660983078</v>
      </c>
      <c r="Y56" s="21">
        <f t="shared" si="23"/>
        <v>0.4522373892066256</v>
      </c>
    </row>
    <row r="57" spans="1:25" ht="16" customHeight="1" x14ac:dyDescent="0.2">
      <c r="A57" t="s">
        <v>1048</v>
      </c>
      <c r="B57" t="s">
        <v>1154</v>
      </c>
      <c r="C57" t="s">
        <v>1155</v>
      </c>
      <c r="D57" t="s">
        <v>1005</v>
      </c>
      <c r="E57" t="s">
        <v>1051</v>
      </c>
      <c r="F57" s="15">
        <v>64.228654041634798</v>
      </c>
      <c r="G57" s="15">
        <f t="shared" si="12"/>
        <v>4.1922711788486673</v>
      </c>
      <c r="H57" s="9">
        <v>1.125</v>
      </c>
      <c r="I57" s="19">
        <v>550500</v>
      </c>
      <c r="J57" s="11" t="s">
        <v>35</v>
      </c>
      <c r="K57" s="14">
        <v>65</v>
      </c>
      <c r="L57" s="11">
        <v>500.72</v>
      </c>
      <c r="M57" s="13">
        <v>6.4054890178273158</v>
      </c>
      <c r="N57" s="11">
        <f t="shared" si="13"/>
        <v>80.068612722841451</v>
      </c>
      <c r="O57" s="1">
        <f t="shared" si="14"/>
        <v>15.990695942411218</v>
      </c>
      <c r="P57" s="20">
        <f t="shared" si="15"/>
        <v>0.15990695942411218</v>
      </c>
      <c r="Q57" s="15">
        <f t="shared" si="16"/>
        <v>10.270608775701033</v>
      </c>
      <c r="R57" s="15">
        <f t="shared" si="17"/>
        <v>4.9884038134531687</v>
      </c>
      <c r="S57" s="21">
        <v>0.1690517672193935</v>
      </c>
      <c r="T57" s="20">
        <f t="shared" si="18"/>
        <v>7.5964099571333108</v>
      </c>
      <c r="U57" s="20">
        <f t="shared" si="19"/>
        <v>31.74</v>
      </c>
      <c r="V57" s="21">
        <f t="shared" si="20"/>
        <v>0.14173798044866298</v>
      </c>
      <c r="W57" s="21">
        <f t="shared" si="21"/>
        <v>0.22060860160398454</v>
      </c>
      <c r="X57" s="21">
        <f t="shared" si="22"/>
        <v>0.33134146375001122</v>
      </c>
      <c r="Y57" s="21">
        <f t="shared" si="23"/>
        <v>0.4323928591438097</v>
      </c>
    </row>
    <row r="58" spans="1:25" ht="16" customHeight="1" x14ac:dyDescent="0.2">
      <c r="A58" t="s">
        <v>1048</v>
      </c>
      <c r="B58" t="s">
        <v>1156</v>
      </c>
      <c r="C58" t="s">
        <v>1157</v>
      </c>
      <c r="D58" t="s">
        <v>1005</v>
      </c>
      <c r="E58" t="s">
        <v>1051</v>
      </c>
      <c r="F58" s="15">
        <v>6.3114974451393069</v>
      </c>
      <c r="G58" s="15">
        <f t="shared" si="12"/>
        <v>5.199867589249207</v>
      </c>
      <c r="H58" s="9">
        <v>0.88850000000000007</v>
      </c>
      <c r="I58" s="19">
        <v>458500</v>
      </c>
      <c r="J58" s="11" t="s">
        <v>35</v>
      </c>
      <c r="K58" s="14">
        <v>65</v>
      </c>
      <c r="L58" s="11">
        <v>500.78</v>
      </c>
      <c r="M58" s="13">
        <v>47.216979193056588</v>
      </c>
      <c r="N58" s="11">
        <f t="shared" si="13"/>
        <v>590.21223991320733</v>
      </c>
      <c r="O58" s="1">
        <f t="shared" si="14"/>
        <v>117.85858858444973</v>
      </c>
      <c r="P58" s="20">
        <f t="shared" si="15"/>
        <v>1.1785858858444973</v>
      </c>
      <c r="Q58" s="15">
        <f t="shared" si="16"/>
        <v>7.4386418073847915</v>
      </c>
      <c r="R58" s="15">
        <f t="shared" si="17"/>
        <v>5.128506353352587</v>
      </c>
      <c r="S58" s="21">
        <v>0.16585837331892531</v>
      </c>
      <c r="T58" s="20">
        <f t="shared" si="18"/>
        <v>1.7738661713950847</v>
      </c>
      <c r="U58" s="20">
        <f t="shared" si="19"/>
        <v>31.74</v>
      </c>
      <c r="V58" s="21">
        <f t="shared" si="20"/>
        <v>0.13806017349089497</v>
      </c>
      <c r="W58" s="21">
        <f t="shared" si="21"/>
        <v>0.21579993397667205</v>
      </c>
      <c r="X58" s="21">
        <f t="shared" si="22"/>
        <v>0.32508241170509361</v>
      </c>
      <c r="Y58" s="21">
        <f t="shared" si="23"/>
        <v>0.42296787059427721</v>
      </c>
    </row>
    <row r="59" spans="1:25" ht="16" customHeight="1" x14ac:dyDescent="0.2">
      <c r="A59" t="s">
        <v>1048</v>
      </c>
      <c r="B59" t="s">
        <v>1158</v>
      </c>
      <c r="C59" t="s">
        <v>1159</v>
      </c>
      <c r="D59" t="s">
        <v>1005</v>
      </c>
      <c r="E59" t="s">
        <v>1051</v>
      </c>
      <c r="F59" s="15">
        <v>168.81054469434051</v>
      </c>
      <c r="G59" s="15">
        <f t="shared" si="12"/>
        <v>3.7726004288031723</v>
      </c>
      <c r="H59" s="9">
        <v>1.49</v>
      </c>
      <c r="I59" s="19">
        <v>688000</v>
      </c>
      <c r="J59" s="11" t="s">
        <v>35</v>
      </c>
      <c r="K59" s="14">
        <v>65</v>
      </c>
      <c r="L59" s="11">
        <v>502.04</v>
      </c>
      <c r="M59" s="13">
        <v>14.363198933381391</v>
      </c>
      <c r="N59" s="11">
        <f t="shared" si="13"/>
        <v>179.53998666726739</v>
      </c>
      <c r="O59" s="1">
        <f t="shared" si="14"/>
        <v>35.762088014354909</v>
      </c>
      <c r="P59" s="20">
        <f t="shared" si="15"/>
        <v>0.35762088014354909</v>
      </c>
      <c r="Q59" s="15">
        <f t="shared" si="16"/>
        <v>60.370175571101981</v>
      </c>
      <c r="R59" s="15">
        <f t="shared" si="17"/>
        <v>4.2191775611110804</v>
      </c>
      <c r="S59" s="21">
        <v>0.13861908238045731</v>
      </c>
      <c r="T59" s="20">
        <f t="shared" si="18"/>
        <v>3.8642054141376154</v>
      </c>
      <c r="U59" s="20">
        <f t="shared" si="19"/>
        <v>31.74</v>
      </c>
      <c r="V59" s="21">
        <f t="shared" si="20"/>
        <v>0.13886288015806064</v>
      </c>
      <c r="W59" s="21">
        <f t="shared" si="21"/>
        <v>0.19620945309997662</v>
      </c>
      <c r="X59" s="21">
        <f t="shared" si="22"/>
        <v>0.27169340146569632</v>
      </c>
      <c r="Y59" s="21">
        <f t="shared" si="23"/>
        <v>0.38457052807595415</v>
      </c>
    </row>
    <row r="60" spans="1:25" ht="16" customHeight="1" x14ac:dyDescent="0.2">
      <c r="A60" t="s">
        <v>1048</v>
      </c>
      <c r="B60" t="s">
        <v>1003</v>
      </c>
      <c r="C60" t="s">
        <v>1004</v>
      </c>
      <c r="D60" t="s">
        <v>1005</v>
      </c>
      <c r="E60" t="s">
        <v>1051</v>
      </c>
      <c r="F60" s="15">
        <v>12.28006514640702</v>
      </c>
      <c r="G60" s="15">
        <f t="shared" si="12"/>
        <v>4.9107993292331216</v>
      </c>
      <c r="H60" s="9">
        <v>1.105</v>
      </c>
      <c r="I60" s="19">
        <v>542000</v>
      </c>
      <c r="J60" s="11" t="s">
        <v>35</v>
      </c>
      <c r="K60" s="14">
        <v>65</v>
      </c>
      <c r="L60" s="11">
        <v>502.12</v>
      </c>
      <c r="M60" s="13">
        <v>13.02700637738287</v>
      </c>
      <c r="N60" s="11">
        <f t="shared" si="13"/>
        <v>162.83757971728588</v>
      </c>
      <c r="O60" s="1">
        <f t="shared" si="14"/>
        <v>32.430012689653047</v>
      </c>
      <c r="P60" s="20">
        <f t="shared" si="15"/>
        <v>0.32430012689653048</v>
      </c>
      <c r="Q60" s="15">
        <f t="shared" si="16"/>
        <v>3.9824266852774577</v>
      </c>
      <c r="R60" s="15">
        <f t="shared" si="17"/>
        <v>5.3998522106235098</v>
      </c>
      <c r="S60" s="21">
        <v>5.2921120547471397E-2</v>
      </c>
      <c r="T60" s="20">
        <f t="shared" si="18"/>
        <v>4.1723496488737304</v>
      </c>
      <c r="U60" s="20">
        <f t="shared" si="19"/>
        <v>31.74</v>
      </c>
      <c r="V60" s="21">
        <f t="shared" si="20"/>
        <v>0.13903095924293984</v>
      </c>
      <c r="W60" s="21">
        <f t="shared" si="21"/>
        <v>0.14876240327452364</v>
      </c>
      <c r="X60" s="21">
        <f t="shared" si="22"/>
        <v>0.10372539627304393</v>
      </c>
      <c r="Y60" s="21">
        <f t="shared" si="23"/>
        <v>0.29157431041806631</v>
      </c>
    </row>
    <row r="61" spans="1:25" ht="16" customHeight="1" x14ac:dyDescent="0.2">
      <c r="A61" t="s">
        <v>1048</v>
      </c>
      <c r="B61" t="s">
        <v>1160</v>
      </c>
      <c r="C61" t="s">
        <v>1161</v>
      </c>
      <c r="D61" t="s">
        <v>1005</v>
      </c>
      <c r="E61" t="s">
        <v>1051</v>
      </c>
      <c r="F61" s="15">
        <v>6.4807252680544902</v>
      </c>
      <c r="G61" s="15">
        <f t="shared" si="12"/>
        <v>5.1883763888379928</v>
      </c>
      <c r="H61" s="9">
        <v>0.86699999999999999</v>
      </c>
      <c r="I61" s="19">
        <v>452000</v>
      </c>
      <c r="J61" s="11" t="s">
        <v>35</v>
      </c>
      <c r="K61" s="14">
        <v>65</v>
      </c>
      <c r="L61" s="11">
        <v>492.66</v>
      </c>
      <c r="M61" s="13">
        <v>19.452932041812229</v>
      </c>
      <c r="N61" s="11">
        <f t="shared" si="13"/>
        <v>243.16165052265285</v>
      </c>
      <c r="O61" s="1">
        <f t="shared" si="14"/>
        <v>49.356889238552519</v>
      </c>
      <c r="P61" s="20">
        <f t="shared" si="15"/>
        <v>0.4935688923855252</v>
      </c>
      <c r="Q61" s="15">
        <f t="shared" si="16"/>
        <v>3.1986843924085409</v>
      </c>
      <c r="R61" s="15">
        <f t="shared" si="17"/>
        <v>5.4950286087427873</v>
      </c>
      <c r="S61" s="21">
        <v>6.3504842335053477E-2</v>
      </c>
      <c r="T61" s="20">
        <f t="shared" si="18"/>
        <v>3.0781746128168841</v>
      </c>
      <c r="U61" s="20">
        <f t="shared" si="19"/>
        <v>31.74</v>
      </c>
      <c r="V61" s="21">
        <f t="shared" si="20"/>
        <v>0.13849178858718805</v>
      </c>
      <c r="W61" s="21">
        <f t="shared" si="21"/>
        <v>0.15235760731279022</v>
      </c>
      <c r="X61" s="21">
        <f t="shared" si="22"/>
        <v>0.12446949097670482</v>
      </c>
      <c r="Y61" s="21">
        <f t="shared" si="23"/>
        <v>0.29862091033306881</v>
      </c>
    </row>
    <row r="62" spans="1:25" ht="16" customHeight="1" x14ac:dyDescent="0.2">
      <c r="A62" t="s">
        <v>1048</v>
      </c>
      <c r="B62" t="s">
        <v>1162</v>
      </c>
      <c r="C62" t="s">
        <v>1163</v>
      </c>
      <c r="D62" t="s">
        <v>1005</v>
      </c>
      <c r="E62" t="s">
        <v>1051</v>
      </c>
      <c r="F62" s="15">
        <v>0.46876006655857472</v>
      </c>
      <c r="G62" s="15">
        <f t="shared" si="12"/>
        <v>6.3290493927492424</v>
      </c>
      <c r="H62" s="9">
        <v>0.68300000000000005</v>
      </c>
      <c r="I62" s="19">
        <v>377000</v>
      </c>
      <c r="J62" s="11" t="s">
        <v>247</v>
      </c>
      <c r="K62" s="14">
        <v>20</v>
      </c>
      <c r="L62" s="11">
        <v>492.72</v>
      </c>
      <c r="M62" s="13">
        <v>27.325405906124988</v>
      </c>
      <c r="N62" s="11">
        <f t="shared" si="13"/>
        <v>341.56757382656235</v>
      </c>
      <c r="O62" s="1">
        <f t="shared" si="14"/>
        <v>69.322855542004049</v>
      </c>
      <c r="P62" s="20">
        <f t="shared" si="15"/>
        <v>0.69322855542004047</v>
      </c>
      <c r="Q62" s="15">
        <f t="shared" si="16"/>
        <v>0.32495786377900276</v>
      </c>
      <c r="R62" s="15">
        <f t="shared" si="17"/>
        <v>6.4881729489123137</v>
      </c>
      <c r="S62" s="21">
        <v>4.2673908890562162E-2</v>
      </c>
      <c r="T62" s="20">
        <f t="shared" si="18"/>
        <v>2.4391165243158541</v>
      </c>
      <c r="U62" s="20">
        <f t="shared" si="19"/>
        <v>31.74</v>
      </c>
      <c r="V62" s="21">
        <f t="shared" si="20"/>
        <v>0.13825148636658635</v>
      </c>
      <c r="W62" s="21">
        <f t="shared" si="21"/>
        <v>0.14468771883809078</v>
      </c>
      <c r="X62" s="21">
        <f t="shared" si="22"/>
        <v>8.3640861425501839E-2</v>
      </c>
      <c r="Y62" s="21">
        <f t="shared" si="23"/>
        <v>0.28358792892265794</v>
      </c>
    </row>
    <row r="63" spans="1:25" ht="16" customHeight="1" x14ac:dyDescent="0.2">
      <c r="A63" t="s">
        <v>1048</v>
      </c>
      <c r="B63" t="s">
        <v>1164</v>
      </c>
      <c r="C63" t="s">
        <v>1165</v>
      </c>
      <c r="D63" t="s">
        <v>1005</v>
      </c>
      <c r="E63" t="s">
        <v>1051</v>
      </c>
      <c r="F63" s="15">
        <v>4.741487108492441</v>
      </c>
      <c r="G63" s="15">
        <f t="shared" si="12"/>
        <v>5.3240854258952499</v>
      </c>
      <c r="H63" s="9">
        <v>0.6825</v>
      </c>
      <c r="I63" s="19">
        <v>378500</v>
      </c>
      <c r="J63" s="11" t="s">
        <v>35</v>
      </c>
      <c r="K63" s="14">
        <v>65</v>
      </c>
      <c r="L63" s="11">
        <v>501.8</v>
      </c>
      <c r="M63" s="13">
        <v>11.713248689566161</v>
      </c>
      <c r="N63" s="11">
        <f t="shared" si="13"/>
        <v>146.415608619577</v>
      </c>
      <c r="O63" s="1">
        <f t="shared" si="14"/>
        <v>29.178080633634316</v>
      </c>
      <c r="P63" s="20">
        <f t="shared" si="15"/>
        <v>0.29178080633634318</v>
      </c>
      <c r="Q63" s="15">
        <f t="shared" si="16"/>
        <v>1.3834749317493007</v>
      </c>
      <c r="R63" s="15">
        <f t="shared" si="17"/>
        <v>5.8590287057688437</v>
      </c>
      <c r="S63" s="21">
        <v>0.10521525554785301</v>
      </c>
      <c r="T63" s="20">
        <f t="shared" si="18"/>
        <v>4.5438627048392499</v>
      </c>
      <c r="U63" s="20">
        <f t="shared" si="19"/>
        <v>31.74</v>
      </c>
      <c r="V63" s="21">
        <f t="shared" si="20"/>
        <v>0.13925043488857722</v>
      </c>
      <c r="W63" s="21">
        <f t="shared" si="21"/>
        <v>0.17453060939748619</v>
      </c>
      <c r="X63" s="21">
        <f t="shared" si="22"/>
        <v>0.20622190087379189</v>
      </c>
      <c r="Y63" s="21">
        <f t="shared" si="23"/>
        <v>0.34207999441907294</v>
      </c>
    </row>
    <row r="64" spans="1:25" ht="16" customHeight="1" x14ac:dyDescent="0.2">
      <c r="A64" t="s">
        <v>1048</v>
      </c>
      <c r="B64" t="s">
        <v>1166</v>
      </c>
      <c r="C64" t="s">
        <v>1167</v>
      </c>
      <c r="D64" t="s">
        <v>1005</v>
      </c>
      <c r="E64" t="s">
        <v>1051</v>
      </c>
      <c r="F64" s="15">
        <v>6.368673331236268</v>
      </c>
      <c r="G64" s="15">
        <f t="shared" si="12"/>
        <v>5.1959510268373599</v>
      </c>
      <c r="H64" s="9">
        <v>1.1100000000000001</v>
      </c>
      <c r="I64" s="19">
        <v>539500</v>
      </c>
      <c r="J64" s="11" t="s">
        <v>35</v>
      </c>
      <c r="K64" s="14">
        <v>65</v>
      </c>
      <c r="L64" s="11">
        <v>503.2</v>
      </c>
      <c r="M64" s="13">
        <v>12.13563870474419</v>
      </c>
      <c r="N64" s="11">
        <f t="shared" si="13"/>
        <v>151.69548380930237</v>
      </c>
      <c r="O64" s="1">
        <f t="shared" si="14"/>
        <v>30.146161329352616</v>
      </c>
      <c r="P64" s="20">
        <f t="shared" si="15"/>
        <v>0.30146161329352616</v>
      </c>
      <c r="Q64" s="15">
        <f t="shared" si="16"/>
        <v>1.9199105369739409</v>
      </c>
      <c r="R64" s="15">
        <f t="shared" si="17"/>
        <v>5.7167190078609149</v>
      </c>
      <c r="S64" s="21">
        <v>5.7003179735870879E-2</v>
      </c>
      <c r="T64" s="20">
        <f t="shared" si="18"/>
        <v>4.4156430979715431</v>
      </c>
      <c r="U64" s="20">
        <f t="shared" si="19"/>
        <v>31.74</v>
      </c>
      <c r="V64" s="21">
        <f t="shared" si="20"/>
        <v>0.13917261296966313</v>
      </c>
      <c r="W64" s="21">
        <f t="shared" si="21"/>
        <v>0.15039407801108276</v>
      </c>
      <c r="X64" s="21">
        <f t="shared" si="22"/>
        <v>0.11172623228230692</v>
      </c>
      <c r="Y64" s="21">
        <f t="shared" si="23"/>
        <v>0.29477239290172219</v>
      </c>
    </row>
    <row r="65" spans="1:25" ht="16" customHeight="1" x14ac:dyDescent="0.2">
      <c r="A65" t="s">
        <v>1048</v>
      </c>
      <c r="B65" t="s">
        <v>1168</v>
      </c>
      <c r="C65" t="s">
        <v>1169</v>
      </c>
      <c r="D65" t="s">
        <v>1005</v>
      </c>
      <c r="E65" t="s">
        <v>1051</v>
      </c>
      <c r="F65" s="15">
        <v>1.16816950824784</v>
      </c>
      <c r="G65" s="15">
        <f t="shared" si="12"/>
        <v>5.932494133974199</v>
      </c>
      <c r="H65" s="9">
        <v>0.93900000000000006</v>
      </c>
      <c r="I65" s="19">
        <v>480000</v>
      </c>
      <c r="J65" s="11" t="s">
        <v>35</v>
      </c>
      <c r="K65" s="14">
        <v>65</v>
      </c>
      <c r="L65" s="11">
        <v>503.22</v>
      </c>
      <c r="M65" s="13">
        <v>22.073592150521709</v>
      </c>
      <c r="N65" s="11">
        <f t="shared" si="13"/>
        <v>275.91990188152135</v>
      </c>
      <c r="O65" s="1">
        <f t="shared" si="14"/>
        <v>54.830869576233319</v>
      </c>
      <c r="P65" s="20">
        <f t="shared" si="15"/>
        <v>0.54830869576233321</v>
      </c>
      <c r="Q65" s="15">
        <f t="shared" si="16"/>
        <v>0.64051749949669934</v>
      </c>
      <c r="R65" s="15">
        <f t="shared" si="17"/>
        <v>6.1934690004532005</v>
      </c>
      <c r="S65" s="21">
        <v>4.2483408526152892E-2</v>
      </c>
      <c r="T65" s="20">
        <f t="shared" si="18"/>
        <v>2.8148245571339938</v>
      </c>
      <c r="U65" s="20">
        <f t="shared" si="19"/>
        <v>31.74</v>
      </c>
      <c r="V65" s="21">
        <f t="shared" si="20"/>
        <v>0.13838607028272318</v>
      </c>
      <c r="W65" s="21">
        <f t="shared" si="21"/>
        <v>0.14476029997307549</v>
      </c>
      <c r="X65" s="21">
        <f t="shared" si="22"/>
        <v>8.3267480711259667E-2</v>
      </c>
      <c r="Y65" s="21">
        <f t="shared" si="23"/>
        <v>0.28373018794722793</v>
      </c>
    </row>
    <row r="66" spans="1:25" ht="16" customHeight="1" x14ac:dyDescent="0.2">
      <c r="A66" t="s">
        <v>1048</v>
      </c>
      <c r="B66" t="s">
        <v>1170</v>
      </c>
      <c r="C66" t="s">
        <v>1171</v>
      </c>
      <c r="D66" t="s">
        <v>1005</v>
      </c>
      <c r="E66" t="s">
        <v>1051</v>
      </c>
      <c r="F66" s="15">
        <v>5.6338264084013137</v>
      </c>
      <c r="G66" s="15">
        <f t="shared" ref="G66:G97" si="24">IF(F66=0, 0, -LOG10(F66*10^-6))</f>
        <v>5.249196538790585</v>
      </c>
      <c r="H66" s="9">
        <v>0.78200000000000003</v>
      </c>
      <c r="I66" s="19">
        <v>416500</v>
      </c>
      <c r="J66" s="11" t="s">
        <v>247</v>
      </c>
      <c r="K66" s="14">
        <v>20</v>
      </c>
      <c r="L66" s="11">
        <v>503.24</v>
      </c>
      <c r="M66" s="13">
        <v>24.721952300719551</v>
      </c>
      <c r="N66" s="11">
        <f t="shared" ref="N66:N97" si="25">IF(ISNUMBER(M66),12.5*M66,"-")</f>
        <v>309.02440375899437</v>
      </c>
      <c r="O66" s="1">
        <f t="shared" ref="O66:O97" si="26">IF(OR(N66="-",L66="",L66=0),"-",N66/L66*100)</f>
        <v>61.406963627492715</v>
      </c>
      <c r="P66" s="20">
        <f t="shared" ref="P66:P97" si="27">IF(O66="-","-",O66/100)</f>
        <v>0.61406963627492717</v>
      </c>
      <c r="Q66" s="15">
        <f t="shared" ref="Q66:Q97" si="28">IF(F66="no data","no data",IF(OR(F66="",P66="-",P66=""),"-",F66*P66))</f>
        <v>3.4595617334430742</v>
      </c>
      <c r="R66" s="15">
        <f t="shared" ref="R66:R97" si="29">IF(Q66="no data","no data",IF(Q66="-","-",IF(Q66="","",IF(Q66=0,0,-LOG10(Q66*10^-6)))))</f>
        <v>5.4609789153121229</v>
      </c>
      <c r="S66" s="21">
        <v>0.1066313743698354</v>
      </c>
      <c r="T66" s="20">
        <f t="shared" ref="T66:T97" si="30">IF(OR(NOT(ISNUMBER(M66)),M66=0),"-",43.15/M66+0.86)</f>
        <v>2.6054123151408266</v>
      </c>
      <c r="U66" s="20">
        <f t="shared" ref="U66:U97" si="31">IF(T66="-","-",31.74)</f>
        <v>31.74</v>
      </c>
      <c r="V66" s="21">
        <f t="shared" ref="V66:V97" si="32">IF(OR(T66="-",U66="-"),"-",SQRT((T66/100)^2+(U66/100)^2)/LN(10))</f>
        <v>0.13830869753709404</v>
      </c>
      <c r="W66" s="21">
        <f t="shared" ref="W66:W97" si="33">IF(OR(S66="-",V66="-",R66="no data",R66="",R66="-"),"-",SQRT(S66^2+V66^2))</f>
        <v>0.17464119163131978</v>
      </c>
      <c r="X66" s="21">
        <f t="shared" ref="X66:X97" si="34">IF(S66="-","-",S66*1.96)</f>
        <v>0.20899749376487739</v>
      </c>
      <c r="Y66" s="21">
        <f t="shared" ref="Y66:Y97" si="35">IF(W66="-","-",W66*1.96)</f>
        <v>0.34229673559738677</v>
      </c>
    </row>
    <row r="67" spans="1:25" ht="16" customHeight="1" x14ac:dyDescent="0.2">
      <c r="A67" t="s">
        <v>1048</v>
      </c>
      <c r="B67" t="s">
        <v>1172</v>
      </c>
      <c r="C67" t="s">
        <v>1173</v>
      </c>
      <c r="D67" t="s">
        <v>1005</v>
      </c>
      <c r="E67" t="s">
        <v>1051</v>
      </c>
      <c r="F67" s="15">
        <v>19.005262429127342</v>
      </c>
      <c r="G67" s="15">
        <f t="shared" si="24"/>
        <v>4.7211261291792663</v>
      </c>
      <c r="H67" s="9">
        <v>1.028</v>
      </c>
      <c r="I67" s="19">
        <v>499000</v>
      </c>
      <c r="J67" s="11" t="s">
        <v>247</v>
      </c>
      <c r="K67" s="14">
        <v>20</v>
      </c>
      <c r="L67" s="11">
        <v>505.78</v>
      </c>
      <c r="M67" s="13">
        <v>19.229359587295448</v>
      </c>
      <c r="N67" s="11">
        <f t="shared" si="25"/>
        <v>240.3669948411931</v>
      </c>
      <c r="O67" s="1">
        <f t="shared" si="26"/>
        <v>47.524021282216204</v>
      </c>
      <c r="P67" s="20">
        <f t="shared" si="27"/>
        <v>0.47524021282216206</v>
      </c>
      <c r="Q67" s="15">
        <f t="shared" si="28"/>
        <v>9.0320649615595183</v>
      </c>
      <c r="R67" s="15">
        <f t="shared" si="29"/>
        <v>5.0442129474841764</v>
      </c>
      <c r="S67" s="21">
        <v>0.12305385000072119</v>
      </c>
      <c r="T67" s="20">
        <f t="shared" si="30"/>
        <v>3.1039644858744313</v>
      </c>
      <c r="U67" s="20">
        <f t="shared" si="31"/>
        <v>31.74</v>
      </c>
      <c r="V67" s="21">
        <f t="shared" si="32"/>
        <v>0.13850264498022771</v>
      </c>
      <c r="W67" s="21">
        <f t="shared" si="33"/>
        <v>0.1852707010471947</v>
      </c>
      <c r="X67" s="21">
        <f t="shared" si="34"/>
        <v>0.24118554600141354</v>
      </c>
      <c r="Y67" s="21">
        <f t="shared" si="35"/>
        <v>0.3631305740525016</v>
      </c>
    </row>
    <row r="68" spans="1:25" ht="16" customHeight="1" x14ac:dyDescent="0.2">
      <c r="A68" t="s">
        <v>1048</v>
      </c>
      <c r="B68" t="s">
        <v>1174</v>
      </c>
      <c r="C68" t="s">
        <v>1175</v>
      </c>
      <c r="D68" t="s">
        <v>1005</v>
      </c>
      <c r="E68" t="s">
        <v>1051</v>
      </c>
      <c r="F68" s="15">
        <v>28.726990792632659</v>
      </c>
      <c r="G68" s="15">
        <f t="shared" si="24"/>
        <v>4.5417098648051759</v>
      </c>
      <c r="H68" s="9">
        <v>0.78849999999999998</v>
      </c>
      <c r="I68" s="19">
        <v>417500</v>
      </c>
      <c r="J68" s="11" t="s">
        <v>35</v>
      </c>
      <c r="K68" s="14">
        <v>65</v>
      </c>
      <c r="L68" s="11">
        <v>505.8</v>
      </c>
      <c r="M68" s="13">
        <v>12.823088410163249</v>
      </c>
      <c r="N68" s="11">
        <f t="shared" si="25"/>
        <v>160.28860512704063</v>
      </c>
      <c r="O68" s="1">
        <f t="shared" si="26"/>
        <v>31.690115683479757</v>
      </c>
      <c r="P68" s="20">
        <f t="shared" si="27"/>
        <v>0.31690115683479758</v>
      </c>
      <c r="Q68" s="15">
        <f t="shared" si="28"/>
        <v>9.1036166145678692</v>
      </c>
      <c r="R68" s="15">
        <f t="shared" si="29"/>
        <v>5.0407860402376201</v>
      </c>
      <c r="S68" s="21">
        <v>0.1213847189723649</v>
      </c>
      <c r="T68" s="20">
        <f t="shared" si="30"/>
        <v>4.2250239801669327</v>
      </c>
      <c r="U68" s="20">
        <f t="shared" si="31"/>
        <v>31.74</v>
      </c>
      <c r="V68" s="21">
        <f t="shared" si="32"/>
        <v>0.13906095934706353</v>
      </c>
      <c r="W68" s="21">
        <f t="shared" si="33"/>
        <v>0.18458656618108929</v>
      </c>
      <c r="X68" s="21">
        <f t="shared" si="34"/>
        <v>0.2379140491858352</v>
      </c>
      <c r="Y68" s="21">
        <f t="shared" si="35"/>
        <v>0.36178966971493498</v>
      </c>
    </row>
    <row r="69" spans="1:25" ht="16" customHeight="1" x14ac:dyDescent="0.2">
      <c r="A69" t="s">
        <v>1048</v>
      </c>
      <c r="B69" t="s">
        <v>1176</v>
      </c>
      <c r="C69" t="s">
        <v>1177</v>
      </c>
      <c r="D69" t="s">
        <v>1005</v>
      </c>
      <c r="E69" t="s">
        <v>1051</v>
      </c>
      <c r="F69" s="15">
        <v>20.366148384021951</v>
      </c>
      <c r="G69" s="15">
        <f t="shared" si="24"/>
        <v>4.6910910963669616</v>
      </c>
      <c r="H69" s="9">
        <v>0.874</v>
      </c>
      <c r="I69" s="19">
        <v>448000</v>
      </c>
      <c r="J69" s="11" t="s">
        <v>35</v>
      </c>
      <c r="K69" s="14">
        <v>65</v>
      </c>
      <c r="L69" s="11">
        <v>505.84</v>
      </c>
      <c r="M69" s="13">
        <v>4.1657672410105793</v>
      </c>
      <c r="N69" s="11">
        <f t="shared" si="25"/>
        <v>52.072090512632244</v>
      </c>
      <c r="O69" s="1">
        <f t="shared" si="26"/>
        <v>10.294182056111072</v>
      </c>
      <c r="P69" s="20">
        <f t="shared" si="27"/>
        <v>0.10294182056111073</v>
      </c>
      <c r="Q69" s="15">
        <f t="shared" si="28"/>
        <v>2.0965283924689428</v>
      </c>
      <c r="R69" s="15">
        <f t="shared" si="29"/>
        <v>5.6784992517392618</v>
      </c>
      <c r="S69" s="21">
        <v>0.1028214471790784</v>
      </c>
      <c r="T69" s="20">
        <f t="shared" si="30"/>
        <v>11.218235951159906</v>
      </c>
      <c r="U69" s="20">
        <f t="shared" si="31"/>
        <v>31.74</v>
      </c>
      <c r="V69" s="21">
        <f t="shared" si="32"/>
        <v>0.14620163759515262</v>
      </c>
      <c r="W69" s="21">
        <f t="shared" si="33"/>
        <v>0.17873770960685478</v>
      </c>
      <c r="X69" s="21">
        <f t="shared" si="34"/>
        <v>0.20153003647099366</v>
      </c>
      <c r="Y69" s="21">
        <f t="shared" si="35"/>
        <v>0.35032591082943537</v>
      </c>
    </row>
    <row r="70" spans="1:25" ht="16" customHeight="1" x14ac:dyDescent="0.2">
      <c r="A70" t="s">
        <v>1048</v>
      </c>
      <c r="B70" t="s">
        <v>1178</v>
      </c>
      <c r="C70" t="s">
        <v>1179</v>
      </c>
      <c r="D70" t="s">
        <v>1005</v>
      </c>
      <c r="E70" t="s">
        <v>1051</v>
      </c>
      <c r="F70" s="15">
        <v>57.369852710286779</v>
      </c>
      <c r="G70" s="15">
        <f t="shared" si="24"/>
        <v>4.2413162651113154</v>
      </c>
      <c r="H70" s="9">
        <v>0.9335</v>
      </c>
      <c r="I70" s="19">
        <v>473000</v>
      </c>
      <c r="J70" s="11" t="s">
        <v>35</v>
      </c>
      <c r="K70" s="14">
        <v>65</v>
      </c>
      <c r="L70" s="11">
        <v>505.84</v>
      </c>
      <c r="M70" s="13">
        <v>24.061165324182639</v>
      </c>
      <c r="N70" s="11">
        <f t="shared" si="25"/>
        <v>300.76456655228299</v>
      </c>
      <c r="O70" s="1">
        <f t="shared" si="26"/>
        <v>59.458438745904438</v>
      </c>
      <c r="P70" s="20">
        <f t="shared" si="27"/>
        <v>0.59458438745904441</v>
      </c>
      <c r="Q70" s="15">
        <f t="shared" si="28"/>
        <v>34.111218732361465</v>
      </c>
      <c r="R70" s="15">
        <f t="shared" si="29"/>
        <v>4.4671027637563636</v>
      </c>
      <c r="S70" s="21">
        <v>0.19270249090242711</v>
      </c>
      <c r="T70" s="20">
        <f t="shared" si="30"/>
        <v>2.6533462248660147</v>
      </c>
      <c r="U70" s="20">
        <f t="shared" si="31"/>
        <v>31.74</v>
      </c>
      <c r="V70" s="21">
        <f t="shared" si="32"/>
        <v>0.13832588406853802</v>
      </c>
      <c r="W70" s="21">
        <f t="shared" si="33"/>
        <v>0.23720940159138429</v>
      </c>
      <c r="X70" s="21">
        <f t="shared" si="34"/>
        <v>0.37769688216875713</v>
      </c>
      <c r="Y70" s="21">
        <f t="shared" si="35"/>
        <v>0.4649304271191132</v>
      </c>
    </row>
    <row r="71" spans="1:25" ht="16" customHeight="1" x14ac:dyDescent="0.2">
      <c r="A71" t="s">
        <v>1048</v>
      </c>
      <c r="B71" t="s">
        <v>1180</v>
      </c>
      <c r="C71" t="s">
        <v>1181</v>
      </c>
      <c r="D71" t="s">
        <v>1005</v>
      </c>
      <c r="E71" t="s">
        <v>1051</v>
      </c>
      <c r="F71" s="15">
        <v>58.40684891346217</v>
      </c>
      <c r="G71" s="15">
        <f t="shared" si="24"/>
        <v>4.2335362235909928</v>
      </c>
      <c r="H71" s="9">
        <v>2</v>
      </c>
      <c r="I71" s="19">
        <v>870000</v>
      </c>
      <c r="J71" s="11" t="s">
        <v>35</v>
      </c>
      <c r="K71" s="14">
        <v>65</v>
      </c>
      <c r="L71" s="11">
        <v>493.02</v>
      </c>
      <c r="M71" s="13">
        <v>6.5424858378847954</v>
      </c>
      <c r="N71" s="11">
        <f t="shared" si="25"/>
        <v>81.781072973559944</v>
      </c>
      <c r="O71" s="1">
        <f t="shared" si="26"/>
        <v>16.587780003561711</v>
      </c>
      <c r="P71" s="20">
        <f t="shared" si="27"/>
        <v>0.16587780003561711</v>
      </c>
      <c r="Q71" s="15">
        <f t="shared" si="28"/>
        <v>9.6883996047777785</v>
      </c>
      <c r="R71" s="15">
        <f t="shared" si="29"/>
        <v>5.0137479567177223</v>
      </c>
      <c r="S71" s="21">
        <v>0.1345037174207464</v>
      </c>
      <c r="T71" s="20">
        <f t="shared" si="30"/>
        <v>7.4553524500024784</v>
      </c>
      <c r="U71" s="20">
        <f t="shared" si="31"/>
        <v>31.74</v>
      </c>
      <c r="V71" s="21">
        <f t="shared" si="32"/>
        <v>0.14159664453507101</v>
      </c>
      <c r="W71" s="21">
        <f t="shared" si="33"/>
        <v>0.19529685031661739</v>
      </c>
      <c r="X71" s="21">
        <f t="shared" si="34"/>
        <v>0.26362728614466296</v>
      </c>
      <c r="Y71" s="21">
        <f t="shared" si="35"/>
        <v>0.38278182662057009</v>
      </c>
    </row>
    <row r="72" spans="1:25" ht="16" customHeight="1" x14ac:dyDescent="0.2">
      <c r="A72" t="s">
        <v>1048</v>
      </c>
      <c r="B72" t="s">
        <v>1182</v>
      </c>
      <c r="C72" t="s">
        <v>1183</v>
      </c>
      <c r="D72" t="s">
        <v>1005</v>
      </c>
      <c r="E72" t="s">
        <v>1051</v>
      </c>
      <c r="F72" s="15">
        <v>8.929445671484876</v>
      </c>
      <c r="G72" s="15">
        <f t="shared" si="24"/>
        <v>5.0491755007181274</v>
      </c>
      <c r="H72" s="9">
        <v>1.03</v>
      </c>
      <c r="I72" s="19">
        <v>511000</v>
      </c>
      <c r="J72" s="11" t="s">
        <v>35</v>
      </c>
      <c r="K72" s="14">
        <v>65</v>
      </c>
      <c r="L72" s="11">
        <v>494.42</v>
      </c>
      <c r="M72" s="13">
        <v>22.825722668776098</v>
      </c>
      <c r="N72" s="11">
        <f t="shared" si="25"/>
        <v>285.32153335970122</v>
      </c>
      <c r="O72" s="1">
        <f t="shared" si="26"/>
        <v>57.708331653189838</v>
      </c>
      <c r="P72" s="20">
        <f t="shared" si="27"/>
        <v>0.57708331653189837</v>
      </c>
      <c r="Q72" s="15">
        <f t="shared" si="28"/>
        <v>5.1530341228918966</v>
      </c>
      <c r="R72" s="15">
        <f t="shared" si="29"/>
        <v>5.2879369816734894</v>
      </c>
      <c r="S72" s="21">
        <v>7.6370805940490102E-2</v>
      </c>
      <c r="T72" s="20">
        <f t="shared" si="30"/>
        <v>2.7504111219674989</v>
      </c>
      <c r="U72" s="20">
        <f t="shared" si="31"/>
        <v>31.74</v>
      </c>
      <c r="V72" s="21">
        <f t="shared" si="32"/>
        <v>0.13836163909340365</v>
      </c>
      <c r="W72" s="21">
        <f t="shared" si="33"/>
        <v>0.15803937222291564</v>
      </c>
      <c r="X72" s="21">
        <f t="shared" si="34"/>
        <v>0.14968677964336061</v>
      </c>
      <c r="Y72" s="21">
        <f t="shared" si="35"/>
        <v>0.30975716955691462</v>
      </c>
    </row>
    <row r="73" spans="1:25" ht="16" customHeight="1" x14ac:dyDescent="0.2">
      <c r="A73" t="s">
        <v>1048</v>
      </c>
      <c r="B73" t="s">
        <v>1184</v>
      </c>
      <c r="C73" t="s">
        <v>1185</v>
      </c>
      <c r="D73" t="s">
        <v>1005</v>
      </c>
      <c r="E73" t="s">
        <v>1051</v>
      </c>
      <c r="F73" s="15">
        <v>0.38670919306372831</v>
      </c>
      <c r="G73" s="15">
        <f t="shared" si="24"/>
        <v>6.4126155035168164</v>
      </c>
      <c r="H73" s="9">
        <v>1.0549999999999999</v>
      </c>
      <c r="I73" s="19">
        <v>521500</v>
      </c>
      <c r="J73" s="11" t="s">
        <v>35</v>
      </c>
      <c r="K73" s="14">
        <v>65</v>
      </c>
      <c r="L73" s="11">
        <v>494.42</v>
      </c>
      <c r="M73" s="13">
        <v>24.598802799290581</v>
      </c>
      <c r="N73" s="11">
        <f t="shared" si="25"/>
        <v>307.48503499113224</v>
      </c>
      <c r="O73" s="1">
        <f t="shared" si="26"/>
        <v>62.191059219111736</v>
      </c>
      <c r="P73" s="20">
        <f t="shared" si="27"/>
        <v>0.62191059219111733</v>
      </c>
      <c r="Q73" s="15">
        <f t="shared" si="28"/>
        <v>0.2404985432640124</v>
      </c>
      <c r="R73" s="15">
        <f t="shared" si="29"/>
        <v>6.61888754986943</v>
      </c>
      <c r="S73" s="21">
        <v>4.2684569811584139E-2</v>
      </c>
      <c r="T73" s="20">
        <f t="shared" si="30"/>
        <v>2.6141504093542483</v>
      </c>
      <c r="U73" s="20">
        <f t="shared" si="31"/>
        <v>31.74</v>
      </c>
      <c r="V73" s="21">
        <f t="shared" si="32"/>
        <v>0.13831180735598073</v>
      </c>
      <c r="W73" s="21">
        <f t="shared" si="33"/>
        <v>0.14474850104259432</v>
      </c>
      <c r="X73" s="21">
        <f t="shared" si="34"/>
        <v>8.3661756830704911E-2</v>
      </c>
      <c r="Y73" s="21">
        <f t="shared" si="35"/>
        <v>0.28370706204348484</v>
      </c>
    </row>
    <row r="74" spans="1:25" ht="16" customHeight="1" x14ac:dyDescent="0.2">
      <c r="A74" t="s">
        <v>1048</v>
      </c>
      <c r="B74" t="s">
        <v>1186</v>
      </c>
      <c r="C74" t="s">
        <v>1187</v>
      </c>
      <c r="D74" t="s">
        <v>1005</v>
      </c>
      <c r="E74" t="s">
        <v>1051</v>
      </c>
      <c r="F74" s="15">
        <v>1.8886503117305751</v>
      </c>
      <c r="G74" s="15">
        <f t="shared" si="24"/>
        <v>5.7238484453308232</v>
      </c>
      <c r="H74" s="9">
        <v>0.98950000000000005</v>
      </c>
      <c r="I74" s="19">
        <v>495500</v>
      </c>
      <c r="J74" s="11" t="s">
        <v>35</v>
      </c>
      <c r="K74" s="14">
        <v>65</v>
      </c>
      <c r="L74" s="11">
        <v>498.3</v>
      </c>
      <c r="M74" s="13">
        <v>8.4219058273928624</v>
      </c>
      <c r="N74" s="11">
        <f t="shared" si="25"/>
        <v>105.27382284241078</v>
      </c>
      <c r="O74" s="1">
        <f t="shared" si="26"/>
        <v>21.126594991453096</v>
      </c>
      <c r="P74" s="20">
        <f t="shared" si="27"/>
        <v>0.21126594991453096</v>
      </c>
      <c r="Q74" s="15">
        <f t="shared" si="28"/>
        <v>0.39900750216413494</v>
      </c>
      <c r="R74" s="15">
        <f t="shared" si="29"/>
        <v>6.3990189386043399</v>
      </c>
      <c r="S74" s="21">
        <v>3.7396022515770323E-2</v>
      </c>
      <c r="T74" s="20">
        <f t="shared" si="30"/>
        <v>5.9835433979386803</v>
      </c>
      <c r="U74" s="20">
        <f t="shared" si="31"/>
        <v>31.74</v>
      </c>
      <c r="V74" s="21">
        <f t="shared" si="32"/>
        <v>0.14027311022887684</v>
      </c>
      <c r="W74" s="21">
        <f t="shared" si="33"/>
        <v>0.14517233880213762</v>
      </c>
      <c r="X74" s="21">
        <f t="shared" si="34"/>
        <v>7.3296204130909828E-2</v>
      </c>
      <c r="Y74" s="21">
        <f t="shared" si="35"/>
        <v>0.28453778405218971</v>
      </c>
    </row>
    <row r="75" spans="1:25" ht="16" customHeight="1" x14ac:dyDescent="0.2">
      <c r="A75" t="s">
        <v>1048</v>
      </c>
      <c r="B75" t="s">
        <v>1188</v>
      </c>
      <c r="C75" t="s">
        <v>1189</v>
      </c>
      <c r="D75" t="s">
        <v>1005</v>
      </c>
      <c r="E75" t="s">
        <v>1051</v>
      </c>
      <c r="F75" s="15">
        <v>0.94902054772275668</v>
      </c>
      <c r="G75" s="15">
        <f t="shared" si="24"/>
        <v>6.0227243843419362</v>
      </c>
      <c r="H75" s="9">
        <v>1.1299999999999999</v>
      </c>
      <c r="I75" s="19">
        <v>552500</v>
      </c>
      <c r="J75" s="11" t="s">
        <v>35</v>
      </c>
      <c r="K75" s="14">
        <v>65</v>
      </c>
      <c r="L75" s="11">
        <v>499.48</v>
      </c>
      <c r="M75" s="13">
        <v>23.322498106985432</v>
      </c>
      <c r="N75" s="11">
        <f t="shared" si="25"/>
        <v>291.53122633731789</v>
      </c>
      <c r="O75" s="1">
        <f t="shared" si="26"/>
        <v>58.366946892231496</v>
      </c>
      <c r="P75" s="20">
        <f t="shared" si="27"/>
        <v>0.58366946892231497</v>
      </c>
      <c r="Q75" s="15">
        <f t="shared" si="28"/>
        <v>0.55391431908570588</v>
      </c>
      <c r="R75" s="15">
        <f t="shared" si="29"/>
        <v>6.2565574078817905</v>
      </c>
      <c r="S75" s="21">
        <v>5.2117655357853537E-2</v>
      </c>
      <c r="T75" s="20">
        <f t="shared" si="30"/>
        <v>2.7101448602144353</v>
      </c>
      <c r="U75" s="20">
        <f t="shared" si="31"/>
        <v>31.74</v>
      </c>
      <c r="V75" s="21">
        <f t="shared" si="32"/>
        <v>0.13834665175108199</v>
      </c>
      <c r="W75" s="21">
        <f t="shared" si="33"/>
        <v>0.14783790464808122</v>
      </c>
      <c r="X75" s="21">
        <f t="shared" si="34"/>
        <v>0.10215060450139293</v>
      </c>
      <c r="Y75" s="21">
        <f t="shared" si="35"/>
        <v>0.28976229311023921</v>
      </c>
    </row>
    <row r="76" spans="1:25" ht="16" customHeight="1" x14ac:dyDescent="0.2">
      <c r="A76" t="s">
        <v>1048</v>
      </c>
      <c r="B76" t="s">
        <v>1043</v>
      </c>
      <c r="C76" t="s">
        <v>1044</v>
      </c>
      <c r="D76" t="s">
        <v>1042</v>
      </c>
      <c r="E76" t="s">
        <v>1051</v>
      </c>
      <c r="F76" s="15">
        <v>0.76436640428527469</v>
      </c>
      <c r="G76" s="15">
        <f t="shared" si="24"/>
        <v>6.1166984094691417</v>
      </c>
      <c r="H76" s="9">
        <v>1.06</v>
      </c>
      <c r="I76" s="19">
        <v>522500</v>
      </c>
      <c r="J76" s="11" t="s">
        <v>35</v>
      </c>
      <c r="K76" s="14">
        <v>65</v>
      </c>
      <c r="L76" s="11">
        <v>499.48</v>
      </c>
      <c r="M76" s="13">
        <v>24.802849867846142</v>
      </c>
      <c r="N76" s="11">
        <f t="shared" si="25"/>
        <v>310.0356233480768</v>
      </c>
      <c r="O76" s="1">
        <f t="shared" si="26"/>
        <v>62.071679216</v>
      </c>
      <c r="P76" s="20">
        <f t="shared" si="27"/>
        <v>0.62071679215999997</v>
      </c>
      <c r="Q76" s="15">
        <f t="shared" si="28"/>
        <v>0.47445506250282937</v>
      </c>
      <c r="R76" s="15">
        <f t="shared" si="29"/>
        <v>6.3238049150201361</v>
      </c>
      <c r="S76" s="21">
        <v>4.6375774926140048E-2</v>
      </c>
      <c r="T76" s="20">
        <f t="shared" si="30"/>
        <v>2.5997194366740368</v>
      </c>
      <c r="U76" s="20">
        <f t="shared" si="31"/>
        <v>31.74</v>
      </c>
      <c r="V76" s="21">
        <f t="shared" si="32"/>
        <v>0.13830667705062266</v>
      </c>
      <c r="W76" s="21">
        <f t="shared" si="33"/>
        <v>0.14587477306506849</v>
      </c>
      <c r="X76" s="21">
        <f t="shared" si="34"/>
        <v>9.089651885523449E-2</v>
      </c>
      <c r="Y76" s="21">
        <f t="shared" si="35"/>
        <v>0.28591455520753423</v>
      </c>
    </row>
    <row r="77" spans="1:25" ht="16" customHeight="1" x14ac:dyDescent="0.2">
      <c r="A77" t="s">
        <v>1048</v>
      </c>
      <c r="B77" t="s">
        <v>1190</v>
      </c>
      <c r="C77" t="s">
        <v>1191</v>
      </c>
      <c r="D77" t="s">
        <v>1005</v>
      </c>
      <c r="E77" t="s">
        <v>1051</v>
      </c>
      <c r="F77" s="15">
        <v>2.1908902300206661</v>
      </c>
      <c r="G77" s="15">
        <f t="shared" si="24"/>
        <v>5.6593793813122062</v>
      </c>
      <c r="H77" s="9">
        <v>1.18</v>
      </c>
      <c r="I77" s="19">
        <v>570000</v>
      </c>
      <c r="J77" s="11" t="s">
        <v>35</v>
      </c>
      <c r="K77" s="14">
        <v>65</v>
      </c>
      <c r="L77" s="11">
        <v>499.48</v>
      </c>
      <c r="M77" s="13">
        <v>30.078759173359639</v>
      </c>
      <c r="N77" s="11">
        <f t="shared" si="25"/>
        <v>375.9844896669955</v>
      </c>
      <c r="O77" s="1">
        <f t="shared" si="26"/>
        <v>75.27518412488898</v>
      </c>
      <c r="P77" s="20">
        <f t="shared" si="27"/>
        <v>0.75275184124888983</v>
      </c>
      <c r="Q77" s="15">
        <f t="shared" si="28"/>
        <v>1.6491966546222601</v>
      </c>
      <c r="R77" s="15">
        <f t="shared" si="29"/>
        <v>5.7827275548314878</v>
      </c>
      <c r="S77" s="21">
        <v>3.938990987549984E-2</v>
      </c>
      <c r="T77" s="20">
        <f t="shared" si="30"/>
        <v>2.2945671558891094</v>
      </c>
      <c r="U77" s="20">
        <f t="shared" si="31"/>
        <v>31.74</v>
      </c>
      <c r="V77" s="21">
        <f t="shared" si="32"/>
        <v>0.13820480349321984</v>
      </c>
      <c r="W77" s="21">
        <f t="shared" si="33"/>
        <v>0.14370849908269001</v>
      </c>
      <c r="X77" s="21">
        <f t="shared" si="34"/>
        <v>7.7204223355979679E-2</v>
      </c>
      <c r="Y77" s="21">
        <f t="shared" si="35"/>
        <v>0.28166865820207243</v>
      </c>
    </row>
    <row r="78" spans="1:25" ht="16" customHeight="1" x14ac:dyDescent="0.2">
      <c r="A78" t="s">
        <v>1048</v>
      </c>
      <c r="B78" t="s">
        <v>1192</v>
      </c>
      <c r="C78" t="s">
        <v>1193</v>
      </c>
      <c r="D78" t="s">
        <v>1005</v>
      </c>
      <c r="E78" t="s">
        <v>1051</v>
      </c>
      <c r="F78" s="15">
        <v>3.4904440978190721</v>
      </c>
      <c r="G78" s="15">
        <f t="shared" si="24"/>
        <v>5.457119313166289</v>
      </c>
      <c r="H78" s="9">
        <v>0.65050000000000008</v>
      </c>
      <c r="I78" s="19">
        <v>366500</v>
      </c>
      <c r="J78" s="11" t="s">
        <v>247</v>
      </c>
      <c r="K78" s="14">
        <v>20</v>
      </c>
      <c r="L78" s="11">
        <v>503.22</v>
      </c>
      <c r="M78" s="13">
        <v>25.213743924940061</v>
      </c>
      <c r="N78" s="11">
        <f t="shared" si="25"/>
        <v>315.17179906175079</v>
      </c>
      <c r="O78" s="1">
        <f t="shared" si="26"/>
        <v>62.63101606886665</v>
      </c>
      <c r="P78" s="20">
        <f t="shared" si="27"/>
        <v>0.62631016068866652</v>
      </c>
      <c r="Q78" s="15">
        <f t="shared" si="28"/>
        <v>2.1861006037798707</v>
      </c>
      <c r="R78" s="15">
        <f t="shared" si="29"/>
        <v>5.6603298558075874</v>
      </c>
      <c r="S78" s="21">
        <v>6.7211624738582235E-2</v>
      </c>
      <c r="T78" s="20">
        <f t="shared" si="30"/>
        <v>2.5713682176060484</v>
      </c>
      <c r="U78" s="20">
        <f t="shared" si="31"/>
        <v>31.74</v>
      </c>
      <c r="V78" s="21">
        <f t="shared" si="32"/>
        <v>0.13829668016293634</v>
      </c>
      <c r="W78" s="21">
        <f t="shared" si="33"/>
        <v>0.1537640212926597</v>
      </c>
      <c r="X78" s="21">
        <f t="shared" si="34"/>
        <v>0.13173478448762119</v>
      </c>
      <c r="Y78" s="21">
        <f t="shared" si="35"/>
        <v>0.30137748173361301</v>
      </c>
    </row>
    <row r="79" spans="1:25" ht="16" customHeight="1" x14ac:dyDescent="0.2">
      <c r="A79" t="s">
        <v>1048</v>
      </c>
      <c r="B79" t="s">
        <v>1194</v>
      </c>
      <c r="C79" t="s">
        <v>1195</v>
      </c>
      <c r="D79" t="s">
        <v>1005</v>
      </c>
      <c r="E79" t="s">
        <v>1051</v>
      </c>
      <c r="F79" s="15">
        <v>5.7299999999999978</v>
      </c>
      <c r="G79" s="15">
        <f t="shared" si="24"/>
        <v>5.2418453780326102</v>
      </c>
      <c r="H79" s="9">
        <v>0.8</v>
      </c>
      <c r="I79" s="19">
        <v>369000</v>
      </c>
      <c r="J79" s="11" t="s">
        <v>35</v>
      </c>
      <c r="K79" s="14">
        <v>65</v>
      </c>
      <c r="L79" s="11">
        <v>504.54</v>
      </c>
      <c r="M79" s="13">
        <v>14.27291091978875</v>
      </c>
      <c r="N79" s="11">
        <f t="shared" si="25"/>
        <v>178.41138649735936</v>
      </c>
      <c r="O79" s="1">
        <f t="shared" si="26"/>
        <v>35.361197625036539</v>
      </c>
      <c r="P79" s="20">
        <f t="shared" si="27"/>
        <v>0.35361197625036539</v>
      </c>
      <c r="Q79" s="15">
        <f t="shared" si="28"/>
        <v>2.026196623914593</v>
      </c>
      <c r="R79" s="15">
        <f t="shared" si="29"/>
        <v>5.693318412609651</v>
      </c>
      <c r="S79" s="21">
        <v>0.214</v>
      </c>
      <c r="T79" s="20">
        <f t="shared" si="30"/>
        <v>3.8832095080320626</v>
      </c>
      <c r="U79" s="20">
        <f t="shared" si="31"/>
        <v>31.74</v>
      </c>
      <c r="V79" s="21">
        <f t="shared" si="32"/>
        <v>0.13887287879516919</v>
      </c>
      <c r="W79" s="21">
        <f t="shared" si="33"/>
        <v>0.25511110611821225</v>
      </c>
      <c r="X79" s="21">
        <f t="shared" si="34"/>
        <v>0.41943999999999998</v>
      </c>
      <c r="Y79" s="21">
        <f t="shared" si="35"/>
        <v>0.50001776799169595</v>
      </c>
    </row>
    <row r="80" spans="1:25" ht="16" customHeight="1" x14ac:dyDescent="0.2">
      <c r="A80" t="s">
        <v>1048</v>
      </c>
      <c r="B80" t="s">
        <v>1196</v>
      </c>
      <c r="C80" t="s">
        <v>1197</v>
      </c>
      <c r="D80" t="s">
        <v>1005</v>
      </c>
      <c r="E80" t="s">
        <v>1051</v>
      </c>
      <c r="F80" s="15">
        <v>13.9</v>
      </c>
      <c r="G80" s="15">
        <f t="shared" si="24"/>
        <v>4.856985199745905</v>
      </c>
      <c r="H80" s="9">
        <v>0.79900000000000004</v>
      </c>
      <c r="I80" s="19">
        <v>476000</v>
      </c>
      <c r="J80" s="11" t="s">
        <v>35</v>
      </c>
      <c r="K80" s="14">
        <v>65</v>
      </c>
      <c r="L80" s="11">
        <v>493.86</v>
      </c>
      <c r="M80" s="13">
        <v>7.8901847748222016</v>
      </c>
      <c r="N80" s="11">
        <f t="shared" si="25"/>
        <v>98.627309685277524</v>
      </c>
      <c r="O80" s="1">
        <f t="shared" si="26"/>
        <v>19.970702159575087</v>
      </c>
      <c r="P80" s="20">
        <f t="shared" si="27"/>
        <v>0.19970702159575088</v>
      </c>
      <c r="Q80" s="15">
        <f t="shared" si="28"/>
        <v>2.7759276001809372</v>
      </c>
      <c r="R80" s="15">
        <f t="shared" si="29"/>
        <v>5.5565918650370465</v>
      </c>
      <c r="S80" s="21">
        <v>7.6899999999999996E-2</v>
      </c>
      <c r="T80" s="20">
        <f t="shared" si="30"/>
        <v>6.3288199619472598</v>
      </c>
      <c r="U80" s="20">
        <f t="shared" si="31"/>
        <v>31.74</v>
      </c>
      <c r="V80" s="21">
        <f t="shared" si="32"/>
        <v>0.14055862656489046</v>
      </c>
      <c r="W80" s="21">
        <f t="shared" si="33"/>
        <v>0.1602196539186386</v>
      </c>
      <c r="X80" s="21">
        <f t="shared" si="34"/>
        <v>0.150724</v>
      </c>
      <c r="Y80" s="21">
        <f t="shared" si="35"/>
        <v>0.31403052168053164</v>
      </c>
    </row>
    <row r="81" spans="1:25" ht="16" customHeight="1" x14ac:dyDescent="0.2">
      <c r="A81" t="s">
        <v>1048</v>
      </c>
      <c r="B81" t="s">
        <v>1198</v>
      </c>
      <c r="C81" t="s">
        <v>1199</v>
      </c>
      <c r="D81" t="s">
        <v>1005</v>
      </c>
      <c r="E81" t="s">
        <v>1051</v>
      </c>
      <c r="F81" s="16" t="s">
        <v>67</v>
      </c>
      <c r="G81" s="16" t="s">
        <v>67</v>
      </c>
      <c r="H81" s="9" t="s">
        <v>67</v>
      </c>
      <c r="I81" s="19" t="s">
        <v>67</v>
      </c>
      <c r="J81" s="11" t="s">
        <v>35</v>
      </c>
      <c r="K81" s="14">
        <v>65</v>
      </c>
      <c r="L81" s="11">
        <v>496.28</v>
      </c>
      <c r="M81" s="13">
        <v>2.6363631692792269</v>
      </c>
      <c r="N81" s="11">
        <f t="shared" si="25"/>
        <v>32.954539615990335</v>
      </c>
      <c r="O81" s="1">
        <f t="shared" si="26"/>
        <v>6.6403118433123103</v>
      </c>
      <c r="P81" s="20">
        <f t="shared" si="27"/>
        <v>6.6403118433123104E-2</v>
      </c>
      <c r="Q81" s="15" t="str">
        <f t="shared" si="28"/>
        <v>no data</v>
      </c>
      <c r="R81" s="15" t="str">
        <f t="shared" si="29"/>
        <v>no data</v>
      </c>
      <c r="S81" s="22" t="s">
        <v>68</v>
      </c>
      <c r="T81" s="20">
        <f t="shared" si="30"/>
        <v>17.227244279094169</v>
      </c>
      <c r="U81" s="20">
        <f t="shared" si="31"/>
        <v>31.74</v>
      </c>
      <c r="V81" s="21">
        <f t="shared" si="32"/>
        <v>0.15684018017701346</v>
      </c>
      <c r="W81" s="21" t="str">
        <f t="shared" si="33"/>
        <v>-</v>
      </c>
      <c r="X81" s="21" t="str">
        <f t="shared" si="34"/>
        <v>-</v>
      </c>
      <c r="Y81" s="21" t="str">
        <f t="shared" si="35"/>
        <v>-</v>
      </c>
    </row>
    <row r="82" spans="1:25" ht="16" customHeight="1" x14ac:dyDescent="0.2">
      <c r="A82" t="s">
        <v>1048</v>
      </c>
      <c r="B82" t="s">
        <v>1200</v>
      </c>
      <c r="C82" t="s">
        <v>1201</v>
      </c>
      <c r="D82" t="s">
        <v>1005</v>
      </c>
      <c r="E82" t="s">
        <v>1051</v>
      </c>
      <c r="F82" s="15">
        <v>0.2196815877582822</v>
      </c>
      <c r="G82" s="15">
        <f t="shared" ref="G82:G97" si="36">IF(F82=0, 0, -LOG10(F82*10^-6))</f>
        <v>6.6582063412136172</v>
      </c>
      <c r="H82" s="9">
        <v>1.175</v>
      </c>
      <c r="I82" s="19">
        <v>565500</v>
      </c>
      <c r="J82" s="11" t="s">
        <v>35</v>
      </c>
      <c r="K82" s="14">
        <v>65</v>
      </c>
      <c r="L82" s="11">
        <v>496.36</v>
      </c>
      <c r="M82" s="13">
        <v>23.37311922356967</v>
      </c>
      <c r="N82" s="11">
        <f t="shared" si="25"/>
        <v>292.16399029462087</v>
      </c>
      <c r="O82" s="1">
        <f t="shared" si="26"/>
        <v>58.861308383959397</v>
      </c>
      <c r="P82" s="20">
        <f t="shared" si="27"/>
        <v>0.58861308383959399</v>
      </c>
      <c r="Q82" s="15">
        <f t="shared" si="28"/>
        <v>0.12930745683318087</v>
      </c>
      <c r="R82" s="15">
        <f t="shared" si="29"/>
        <v>6.888376429735815</v>
      </c>
      <c r="S82" s="21">
        <v>5.6793397503583108E-2</v>
      </c>
      <c r="T82" s="20">
        <f t="shared" si="30"/>
        <v>2.7061378469539972</v>
      </c>
      <c r="U82" s="20">
        <f t="shared" si="31"/>
        <v>31.74</v>
      </c>
      <c r="V82" s="21">
        <f t="shared" si="32"/>
        <v>0.13834517232115243</v>
      </c>
      <c r="W82" s="21">
        <f t="shared" si="33"/>
        <v>0.14954891074350679</v>
      </c>
      <c r="X82" s="21">
        <f t="shared" si="34"/>
        <v>0.11131505910702288</v>
      </c>
      <c r="Y82" s="21">
        <f t="shared" si="35"/>
        <v>0.29311586505727333</v>
      </c>
    </row>
    <row r="83" spans="1:25" ht="16" customHeight="1" x14ac:dyDescent="0.2">
      <c r="A83" t="s">
        <v>1048</v>
      </c>
      <c r="B83" t="s">
        <v>1202</v>
      </c>
      <c r="C83" t="s">
        <v>1203</v>
      </c>
      <c r="D83" t="s">
        <v>1005</v>
      </c>
      <c r="E83" t="s">
        <v>1051</v>
      </c>
      <c r="F83" s="15">
        <v>0.45187830220093628</v>
      </c>
      <c r="G83" s="15">
        <f t="shared" si="36"/>
        <v>6.3449785116465289</v>
      </c>
      <c r="H83" s="9">
        <v>1.016</v>
      </c>
      <c r="I83" s="19">
        <v>507000</v>
      </c>
      <c r="J83" s="11" t="s">
        <v>35</v>
      </c>
      <c r="K83" s="14">
        <v>65</v>
      </c>
      <c r="L83" s="11">
        <v>501.26</v>
      </c>
      <c r="M83" s="13">
        <v>21.328144569145241</v>
      </c>
      <c r="N83" s="11">
        <f t="shared" si="25"/>
        <v>266.60180711431553</v>
      </c>
      <c r="O83" s="1">
        <f t="shared" si="26"/>
        <v>53.186331866559378</v>
      </c>
      <c r="P83" s="20">
        <f t="shared" si="27"/>
        <v>0.53186331866559378</v>
      </c>
      <c r="Q83" s="15">
        <f t="shared" si="28"/>
        <v>0.24033749344156405</v>
      </c>
      <c r="R83" s="15">
        <f t="shared" si="29"/>
        <v>6.619178472539434</v>
      </c>
      <c r="S83" s="21">
        <v>3.515981370826643E-2</v>
      </c>
      <c r="T83" s="20">
        <f t="shared" si="30"/>
        <v>2.883148326855574</v>
      </c>
      <c r="U83" s="20">
        <f t="shared" si="31"/>
        <v>31.74</v>
      </c>
      <c r="V83" s="21">
        <f t="shared" si="32"/>
        <v>0.1384125978133722</v>
      </c>
      <c r="W83" s="21">
        <f t="shared" si="33"/>
        <v>0.14280847220472015</v>
      </c>
      <c r="X83" s="21">
        <f t="shared" si="34"/>
        <v>6.8913234868202194E-2</v>
      </c>
      <c r="Y83" s="21">
        <f t="shared" si="35"/>
        <v>0.27990460552125151</v>
      </c>
    </row>
    <row r="84" spans="1:25" ht="16" customHeight="1" x14ac:dyDescent="0.2">
      <c r="A84" t="s">
        <v>1048</v>
      </c>
      <c r="B84" t="s">
        <v>1204</v>
      </c>
      <c r="C84" t="s">
        <v>1205</v>
      </c>
      <c r="D84" t="s">
        <v>1005</v>
      </c>
      <c r="E84" t="s">
        <v>1051</v>
      </c>
      <c r="F84" s="15">
        <v>10.380558751820629</v>
      </c>
      <c r="G84" s="15">
        <f t="shared" si="36"/>
        <v>4.9837792691945495</v>
      </c>
      <c r="H84" s="9">
        <v>0.95199999999999996</v>
      </c>
      <c r="I84" s="19">
        <v>488000</v>
      </c>
      <c r="J84" s="11" t="s">
        <v>35</v>
      </c>
      <c r="K84" s="14">
        <v>65</v>
      </c>
      <c r="L84" s="11">
        <v>492.38</v>
      </c>
      <c r="M84" s="13">
        <v>26.881212127439749</v>
      </c>
      <c r="N84" s="11">
        <f t="shared" si="25"/>
        <v>336.01515159299686</v>
      </c>
      <c r="O84" s="1">
        <f t="shared" si="26"/>
        <v>68.243054468702397</v>
      </c>
      <c r="P84" s="20">
        <f t="shared" si="27"/>
        <v>0.68243054468702402</v>
      </c>
      <c r="Q84" s="15">
        <f t="shared" si="28"/>
        <v>7.0840103631606066</v>
      </c>
      <c r="R84" s="15">
        <f t="shared" si="29"/>
        <v>5.14972081215444</v>
      </c>
      <c r="S84" s="21">
        <v>0.14840569396084499</v>
      </c>
      <c r="T84" s="20">
        <f t="shared" si="30"/>
        <v>2.4652103526966118</v>
      </c>
      <c r="U84" s="20">
        <f t="shared" si="31"/>
        <v>31.74</v>
      </c>
      <c r="V84" s="21">
        <f t="shared" si="32"/>
        <v>0.13826021552384629</v>
      </c>
      <c r="W84" s="21">
        <f t="shared" si="33"/>
        <v>0.20283031626633236</v>
      </c>
      <c r="X84" s="21">
        <f t="shared" si="34"/>
        <v>0.29087516016325615</v>
      </c>
      <c r="Y84" s="21">
        <f t="shared" si="35"/>
        <v>0.39754741988201142</v>
      </c>
    </row>
    <row r="85" spans="1:25" ht="16" customHeight="1" x14ac:dyDescent="0.2">
      <c r="A85" t="s">
        <v>1048</v>
      </c>
      <c r="B85" t="s">
        <v>1206</v>
      </c>
      <c r="C85" t="s">
        <v>1207</v>
      </c>
      <c r="D85" t="s">
        <v>1005</v>
      </c>
      <c r="E85" t="s">
        <v>1051</v>
      </c>
      <c r="F85" s="15">
        <v>1.934192337902308</v>
      </c>
      <c r="G85" s="15">
        <f t="shared" si="36"/>
        <v>5.7135003414545267</v>
      </c>
      <c r="H85" s="9">
        <v>0.72899999999999998</v>
      </c>
      <c r="I85" s="19">
        <v>395500</v>
      </c>
      <c r="J85" s="11" t="s">
        <v>35</v>
      </c>
      <c r="K85" s="14">
        <v>65</v>
      </c>
      <c r="L85" s="11">
        <v>493.56</v>
      </c>
      <c r="M85" s="13">
        <v>25.18934221476248</v>
      </c>
      <c r="N85" s="11">
        <f t="shared" si="25"/>
        <v>314.86677768453097</v>
      </c>
      <c r="O85" s="1">
        <f t="shared" si="26"/>
        <v>63.795035595374614</v>
      </c>
      <c r="P85" s="20">
        <f t="shared" si="27"/>
        <v>0.63795035595374616</v>
      </c>
      <c r="Q85" s="15">
        <f t="shared" si="28"/>
        <v>1.2339186904477859</v>
      </c>
      <c r="R85" s="15">
        <f t="shared" si="29"/>
        <v>5.9087134573637865</v>
      </c>
      <c r="S85" s="21">
        <v>3.5863979143424672E-2</v>
      </c>
      <c r="T85" s="20">
        <f t="shared" si="30"/>
        <v>2.5730260739683581</v>
      </c>
      <c r="U85" s="20">
        <f t="shared" si="31"/>
        <v>31.74</v>
      </c>
      <c r="V85" s="21">
        <f t="shared" si="32"/>
        <v>0.13829726173978094</v>
      </c>
      <c r="W85" s="21">
        <f t="shared" si="33"/>
        <v>0.14287182229089637</v>
      </c>
      <c r="X85" s="21">
        <f t="shared" si="34"/>
        <v>7.0293399121112363E-2</v>
      </c>
      <c r="Y85" s="21">
        <f t="shared" si="35"/>
        <v>0.28002877169015689</v>
      </c>
    </row>
    <row r="86" spans="1:25" ht="16" customHeight="1" x14ac:dyDescent="0.2">
      <c r="A86" t="s">
        <v>1048</v>
      </c>
      <c r="B86" t="s">
        <v>1208</v>
      </c>
      <c r="C86" t="s">
        <v>1209</v>
      </c>
      <c r="D86" t="s">
        <v>1005</v>
      </c>
      <c r="E86" t="s">
        <v>1051</v>
      </c>
      <c r="F86" s="15">
        <v>2.9201369830882902</v>
      </c>
      <c r="G86" s="15">
        <f t="shared" si="36"/>
        <v>5.5345967753995335</v>
      </c>
      <c r="H86" s="9">
        <v>0.64100000000000001</v>
      </c>
      <c r="I86" s="19">
        <v>361500</v>
      </c>
      <c r="J86" s="11" t="s">
        <v>35</v>
      </c>
      <c r="K86" s="14">
        <v>65</v>
      </c>
      <c r="L86" s="11">
        <v>499.46</v>
      </c>
      <c r="M86" s="13">
        <v>11.04226622691988</v>
      </c>
      <c r="N86" s="11">
        <f t="shared" si="25"/>
        <v>138.02832783649851</v>
      </c>
      <c r="O86" s="1">
        <f t="shared" si="26"/>
        <v>27.635511920173489</v>
      </c>
      <c r="P86" s="20">
        <f t="shared" si="27"/>
        <v>0.27635511920173489</v>
      </c>
      <c r="Q86" s="15">
        <f t="shared" si="28"/>
        <v>0.80699480404675894</v>
      </c>
      <c r="R86" s="15">
        <f t="shared" si="29"/>
        <v>6.0931292615370189</v>
      </c>
      <c r="S86" s="21">
        <v>6.6156726793274778E-2</v>
      </c>
      <c r="T86" s="20">
        <f t="shared" si="30"/>
        <v>4.767712340316959</v>
      </c>
      <c r="U86" s="20">
        <f t="shared" si="31"/>
        <v>31.74</v>
      </c>
      <c r="V86" s="21">
        <f t="shared" si="32"/>
        <v>0.13939152664603158</v>
      </c>
      <c r="W86" s="21">
        <f t="shared" si="33"/>
        <v>0.15429423255815924</v>
      </c>
      <c r="X86" s="21">
        <f t="shared" si="34"/>
        <v>0.12966718451481857</v>
      </c>
      <c r="Y86" s="21">
        <f t="shared" si="35"/>
        <v>0.30241669581399211</v>
      </c>
    </row>
    <row r="87" spans="1:25" ht="16" customHeight="1" x14ac:dyDescent="0.2">
      <c r="A87" t="s">
        <v>1048</v>
      </c>
      <c r="B87" t="s">
        <v>1038</v>
      </c>
      <c r="C87" t="s">
        <v>1039</v>
      </c>
      <c r="D87" t="s">
        <v>1005</v>
      </c>
      <c r="E87" t="s">
        <v>1051</v>
      </c>
      <c r="F87" s="15">
        <v>0.74799732619843073</v>
      </c>
      <c r="G87" s="15">
        <f t="shared" si="36"/>
        <v>6.126099954567815</v>
      </c>
      <c r="H87" s="9">
        <v>0.63</v>
      </c>
      <c r="I87" s="19">
        <v>357000</v>
      </c>
      <c r="J87" s="11" t="s">
        <v>35</v>
      </c>
      <c r="K87" s="14">
        <v>65</v>
      </c>
      <c r="L87" s="11">
        <v>499.46</v>
      </c>
      <c r="M87" s="13">
        <v>11.284972259146629</v>
      </c>
      <c r="N87" s="11">
        <f t="shared" si="25"/>
        <v>141.06215323933287</v>
      </c>
      <c r="O87" s="1">
        <f t="shared" si="26"/>
        <v>28.242933015523342</v>
      </c>
      <c r="P87" s="20">
        <f t="shared" si="27"/>
        <v>0.28242933015523342</v>
      </c>
      <c r="Q87" s="15">
        <f t="shared" si="28"/>
        <v>0.21125638379612843</v>
      </c>
      <c r="R87" s="15">
        <f t="shared" si="29"/>
        <v>6.6751901585650515</v>
      </c>
      <c r="S87" s="21">
        <v>4.1561340209382083E-2</v>
      </c>
      <c r="T87" s="20">
        <f t="shared" si="30"/>
        <v>4.6836691246650002</v>
      </c>
      <c r="U87" s="20">
        <f t="shared" si="31"/>
        <v>31.74</v>
      </c>
      <c r="V87" s="21">
        <f t="shared" si="32"/>
        <v>0.13933777596795138</v>
      </c>
      <c r="W87" s="21">
        <f t="shared" si="33"/>
        <v>0.14540412928006896</v>
      </c>
      <c r="X87" s="21">
        <f t="shared" si="34"/>
        <v>8.1460226810388878E-2</v>
      </c>
      <c r="Y87" s="21">
        <f t="shared" si="35"/>
        <v>0.28499209338893516</v>
      </c>
    </row>
    <row r="88" spans="1:25" ht="16" customHeight="1" x14ac:dyDescent="0.2">
      <c r="A88" t="s">
        <v>1048</v>
      </c>
      <c r="B88" t="s">
        <v>1210</v>
      </c>
      <c r="C88" t="s">
        <v>1211</v>
      </c>
      <c r="D88" t="s">
        <v>1005</v>
      </c>
      <c r="E88" t="s">
        <v>1051</v>
      </c>
      <c r="F88" s="15">
        <v>8.0072467178175515</v>
      </c>
      <c r="G88" s="15">
        <f t="shared" si="36"/>
        <v>5.0965167898847348</v>
      </c>
      <c r="H88" s="9">
        <v>0.70199999999999996</v>
      </c>
      <c r="I88" s="19">
        <v>384500</v>
      </c>
      <c r="J88" s="11" t="s">
        <v>35</v>
      </c>
      <c r="K88" s="14">
        <v>65</v>
      </c>
      <c r="L88" s="11">
        <v>500.64</v>
      </c>
      <c r="M88" s="13">
        <v>1.29373605219792</v>
      </c>
      <c r="N88" s="11">
        <f t="shared" si="25"/>
        <v>16.171700652474001</v>
      </c>
      <c r="O88" s="1">
        <f t="shared" si="26"/>
        <v>3.2302054674964045</v>
      </c>
      <c r="P88" s="20">
        <f t="shared" si="27"/>
        <v>3.2302054674964047E-2</v>
      </c>
      <c r="Q88" s="15">
        <f t="shared" si="28"/>
        <v>0.25865052127486898</v>
      </c>
      <c r="R88" s="15">
        <f t="shared" si="29"/>
        <v>6.5872866419926872</v>
      </c>
      <c r="S88" s="21">
        <v>8.7863530545955193E-2</v>
      </c>
      <c r="T88" s="20">
        <f t="shared" si="30"/>
        <v>34.213016580694905</v>
      </c>
      <c r="U88" s="20">
        <f t="shared" si="31"/>
        <v>31.74</v>
      </c>
      <c r="V88" s="21">
        <f t="shared" si="32"/>
        <v>0.2026791488858517</v>
      </c>
      <c r="W88" s="21">
        <f t="shared" si="33"/>
        <v>0.2209045888909808</v>
      </c>
      <c r="X88" s="21">
        <f t="shared" si="34"/>
        <v>0.17221251987007216</v>
      </c>
      <c r="Y88" s="21">
        <f t="shared" si="35"/>
        <v>0.43297299422632235</v>
      </c>
    </row>
    <row r="89" spans="1:25" ht="16" customHeight="1" x14ac:dyDescent="0.2">
      <c r="A89" t="s">
        <v>1048</v>
      </c>
      <c r="B89" t="s">
        <v>1212</v>
      </c>
      <c r="C89" t="s">
        <v>1213</v>
      </c>
      <c r="D89" t="s">
        <v>1005</v>
      </c>
      <c r="E89" t="s">
        <v>1051</v>
      </c>
      <c r="F89" s="15">
        <v>5.7063122942930464</v>
      </c>
      <c r="G89" s="15">
        <f t="shared" si="36"/>
        <v>5.2436444640184403</v>
      </c>
      <c r="H89" s="9">
        <v>0.65200000000000002</v>
      </c>
      <c r="I89" s="19">
        <v>367000</v>
      </c>
      <c r="J89" s="11" t="s">
        <v>35</v>
      </c>
      <c r="K89" s="14">
        <v>65</v>
      </c>
      <c r="L89" s="11">
        <v>496.76</v>
      </c>
      <c r="M89" s="13">
        <v>9.6641894055037021</v>
      </c>
      <c r="N89" s="11">
        <f t="shared" si="25"/>
        <v>120.80236756879627</v>
      </c>
      <c r="O89" s="1">
        <f t="shared" si="26"/>
        <v>24.318054506964383</v>
      </c>
      <c r="P89" s="20">
        <f t="shared" si="27"/>
        <v>0.24318054506964384</v>
      </c>
      <c r="Q89" s="15">
        <f t="shared" si="28"/>
        <v>1.387664134063793</v>
      </c>
      <c r="R89" s="15">
        <f t="shared" si="29"/>
        <v>5.8577156364558416</v>
      </c>
      <c r="S89" s="21">
        <v>0.1006608662788077</v>
      </c>
      <c r="T89" s="20">
        <f t="shared" si="30"/>
        <v>5.3249373257757462</v>
      </c>
      <c r="U89" s="20">
        <f t="shared" si="31"/>
        <v>31.74</v>
      </c>
      <c r="V89" s="21">
        <f t="shared" si="32"/>
        <v>0.13977149420018573</v>
      </c>
      <c r="W89" s="21">
        <f t="shared" si="33"/>
        <v>0.17224598860627369</v>
      </c>
      <c r="X89" s="21">
        <f t="shared" si="34"/>
        <v>0.19729529790646308</v>
      </c>
      <c r="Y89" s="21">
        <f t="shared" si="35"/>
        <v>0.33760213766829644</v>
      </c>
    </row>
    <row r="90" spans="1:25" ht="16" customHeight="1" x14ac:dyDescent="0.2">
      <c r="A90" t="s">
        <v>1048</v>
      </c>
      <c r="B90" t="s">
        <v>1214</v>
      </c>
      <c r="C90" t="s">
        <v>1215</v>
      </c>
      <c r="D90" t="s">
        <v>1005</v>
      </c>
      <c r="E90" t="s">
        <v>1051</v>
      </c>
      <c r="F90" s="15">
        <v>1.639237627679403</v>
      </c>
      <c r="G90" s="15">
        <f t="shared" si="36"/>
        <v>5.7853580855329376</v>
      </c>
      <c r="H90" s="9">
        <v>0.62650000000000006</v>
      </c>
      <c r="I90" s="19">
        <v>356000</v>
      </c>
      <c r="J90" s="11" t="s">
        <v>35</v>
      </c>
      <c r="K90" s="14">
        <v>65</v>
      </c>
      <c r="L90" s="11">
        <v>499.08</v>
      </c>
      <c r="M90" s="13">
        <v>13.614153512682879</v>
      </c>
      <c r="N90" s="11">
        <f t="shared" si="25"/>
        <v>170.17691890853598</v>
      </c>
      <c r="O90" s="1">
        <f t="shared" si="26"/>
        <v>34.098124330475272</v>
      </c>
      <c r="P90" s="20">
        <f t="shared" si="27"/>
        <v>0.34098124330475271</v>
      </c>
      <c r="Q90" s="15">
        <f t="shared" si="28"/>
        <v>0.55894928435805613</v>
      </c>
      <c r="R90" s="15">
        <f t="shared" si="29"/>
        <v>6.2526275955530091</v>
      </c>
      <c r="S90" s="21">
        <v>3.6825704338138587E-2</v>
      </c>
      <c r="T90" s="20">
        <f t="shared" si="30"/>
        <v>4.0294956252551195</v>
      </c>
      <c r="U90" s="20">
        <f t="shared" si="31"/>
        <v>31.74</v>
      </c>
      <c r="V90" s="21">
        <f t="shared" si="32"/>
        <v>0.13895146140096684</v>
      </c>
      <c r="W90" s="21">
        <f t="shared" si="33"/>
        <v>0.14374853434196949</v>
      </c>
      <c r="X90" s="21">
        <f t="shared" si="34"/>
        <v>7.2178380502751632E-2</v>
      </c>
      <c r="Y90" s="21">
        <f t="shared" si="35"/>
        <v>0.28174712731026019</v>
      </c>
    </row>
    <row r="91" spans="1:25" ht="16" customHeight="1" x14ac:dyDescent="0.2">
      <c r="A91" t="s">
        <v>1048</v>
      </c>
      <c r="B91" t="s">
        <v>1216</v>
      </c>
      <c r="C91" t="s">
        <v>1217</v>
      </c>
      <c r="D91" t="s">
        <v>1005</v>
      </c>
      <c r="E91" t="s">
        <v>1051</v>
      </c>
      <c r="F91" s="15">
        <v>0.8741281370600088</v>
      </c>
      <c r="G91" s="15">
        <f t="shared" si="36"/>
        <v>6.0584249001583608</v>
      </c>
      <c r="H91" s="9">
        <v>0.93100000000000005</v>
      </c>
      <c r="I91" s="19">
        <v>473500</v>
      </c>
      <c r="J91" s="11" t="s">
        <v>35</v>
      </c>
      <c r="K91" s="14">
        <v>65</v>
      </c>
      <c r="L91" s="11">
        <v>508.32</v>
      </c>
      <c r="M91" s="13">
        <v>10.75179103522466</v>
      </c>
      <c r="N91" s="11">
        <f t="shared" si="25"/>
        <v>134.39738794030825</v>
      </c>
      <c r="O91" s="1">
        <f t="shared" si="26"/>
        <v>26.439523910195987</v>
      </c>
      <c r="P91" s="20">
        <f t="shared" si="27"/>
        <v>0.26439523910195989</v>
      </c>
      <c r="Q91" s="15">
        <f t="shared" si="28"/>
        <v>0.23111531780373179</v>
      </c>
      <c r="R91" s="15">
        <f t="shared" si="29"/>
        <v>6.6361712695049819</v>
      </c>
      <c r="S91" s="21">
        <v>3.8382841218440301E-2</v>
      </c>
      <c r="T91" s="20">
        <f t="shared" si="30"/>
        <v>4.8732848433003779</v>
      </c>
      <c r="U91" s="20">
        <f t="shared" si="31"/>
        <v>31.74</v>
      </c>
      <c r="V91" s="21">
        <f t="shared" si="32"/>
        <v>0.13946037091499366</v>
      </c>
      <c r="W91" s="21">
        <f t="shared" si="33"/>
        <v>0.14464590404068692</v>
      </c>
      <c r="X91" s="21">
        <f t="shared" si="34"/>
        <v>7.5230368788142987E-2</v>
      </c>
      <c r="Y91" s="21">
        <f t="shared" si="35"/>
        <v>0.28350597191974636</v>
      </c>
    </row>
    <row r="92" spans="1:25" ht="16" customHeight="1" x14ac:dyDescent="0.2">
      <c r="A92" t="s">
        <v>1048</v>
      </c>
      <c r="B92" t="s">
        <v>1218</v>
      </c>
      <c r="C92" t="s">
        <v>1219</v>
      </c>
      <c r="D92" t="s">
        <v>1005</v>
      </c>
      <c r="E92" t="s">
        <v>1051</v>
      </c>
      <c r="F92" s="15">
        <v>0.89172865828120518</v>
      </c>
      <c r="G92" s="15">
        <f t="shared" si="36"/>
        <v>6.0497672758237755</v>
      </c>
      <c r="H92" s="9">
        <v>0.79449999999999998</v>
      </c>
      <c r="I92" s="19">
        <v>420500</v>
      </c>
      <c r="J92" s="11" t="s">
        <v>35</v>
      </c>
      <c r="K92" s="14">
        <v>65</v>
      </c>
      <c r="L92" s="11">
        <v>493.06</v>
      </c>
      <c r="M92" s="13">
        <v>4.783001061239224</v>
      </c>
      <c r="N92" s="11">
        <f t="shared" si="25"/>
        <v>59.787513265490297</v>
      </c>
      <c r="O92" s="1">
        <f t="shared" si="26"/>
        <v>12.12580888035742</v>
      </c>
      <c r="P92" s="20">
        <f t="shared" si="27"/>
        <v>0.12125808880357419</v>
      </c>
      <c r="Q92" s="15">
        <f t="shared" si="28"/>
        <v>0.10812931283455444</v>
      </c>
      <c r="R92" s="15">
        <f t="shared" si="29"/>
        <v>6.9660565569570121</v>
      </c>
      <c r="S92" s="21">
        <v>4.3248612694513112E-2</v>
      </c>
      <c r="T92" s="20">
        <f t="shared" si="30"/>
        <v>9.8815326000409236</v>
      </c>
      <c r="U92" s="20">
        <f t="shared" si="31"/>
        <v>31.74</v>
      </c>
      <c r="V92" s="21">
        <f t="shared" si="32"/>
        <v>0.14437089709567896</v>
      </c>
      <c r="W92" s="21">
        <f t="shared" si="33"/>
        <v>0.15070964941970744</v>
      </c>
      <c r="X92" s="21">
        <f t="shared" si="34"/>
        <v>8.4767280881245702E-2</v>
      </c>
      <c r="Y92" s="21">
        <f t="shared" si="35"/>
        <v>0.29539091286262659</v>
      </c>
    </row>
    <row r="93" spans="1:25" ht="16" customHeight="1" x14ac:dyDescent="0.2">
      <c r="A93" t="s">
        <v>1048</v>
      </c>
      <c r="B93" t="s">
        <v>1220</v>
      </c>
      <c r="C93" t="s">
        <v>1221</v>
      </c>
      <c r="D93" t="s">
        <v>1005</v>
      </c>
      <c r="E93" t="s">
        <v>1051</v>
      </c>
      <c r="F93" s="15">
        <v>14.39999999999999</v>
      </c>
      <c r="G93" s="15">
        <f t="shared" si="36"/>
        <v>4.8416375079047507</v>
      </c>
      <c r="H93" s="9">
        <v>0.82899999999999996</v>
      </c>
      <c r="I93" s="19">
        <v>489000</v>
      </c>
      <c r="J93" s="11" t="s">
        <v>35</v>
      </c>
      <c r="K93" s="14">
        <v>65</v>
      </c>
      <c r="L93" s="11">
        <v>495.34</v>
      </c>
      <c r="M93" s="13">
        <v>8.8847302172708442</v>
      </c>
      <c r="N93" s="11">
        <f t="shared" si="25"/>
        <v>111.05912771588555</v>
      </c>
      <c r="O93" s="1">
        <f t="shared" si="26"/>
        <v>22.420787280632606</v>
      </c>
      <c r="P93" s="20">
        <f t="shared" si="27"/>
        <v>0.22420787280632606</v>
      </c>
      <c r="Q93" s="15">
        <f t="shared" si="28"/>
        <v>3.2285933684110928</v>
      </c>
      <c r="R93" s="15">
        <f t="shared" si="29"/>
        <v>5.4909866496176312</v>
      </c>
      <c r="S93" s="21">
        <v>0.20300000000000001</v>
      </c>
      <c r="T93" s="20">
        <f t="shared" si="30"/>
        <v>5.7166471850908431</v>
      </c>
      <c r="U93" s="20">
        <f t="shared" si="31"/>
        <v>31.74</v>
      </c>
      <c r="V93" s="21">
        <f t="shared" si="32"/>
        <v>0.14006301078144781</v>
      </c>
      <c r="W93" s="21">
        <f t="shared" si="33"/>
        <v>0.24663058810529559</v>
      </c>
      <c r="X93" s="21">
        <f t="shared" si="34"/>
        <v>0.39788000000000001</v>
      </c>
      <c r="Y93" s="21">
        <f t="shared" si="35"/>
        <v>0.48339595268637936</v>
      </c>
    </row>
    <row r="94" spans="1:25" ht="16" customHeight="1" x14ac:dyDescent="0.2">
      <c r="A94" t="s">
        <v>1048</v>
      </c>
      <c r="B94" t="s">
        <v>1222</v>
      </c>
      <c r="C94" t="s">
        <v>1223</v>
      </c>
      <c r="D94" t="s">
        <v>1005</v>
      </c>
      <c r="E94" t="s">
        <v>1051</v>
      </c>
      <c r="F94" s="15">
        <v>2.5376169923769032</v>
      </c>
      <c r="G94" s="15">
        <f t="shared" si="36"/>
        <v>5.59557392623244</v>
      </c>
      <c r="H94" s="9">
        <v>0.629</v>
      </c>
      <c r="I94" s="19">
        <v>357500</v>
      </c>
      <c r="J94" s="11" t="s">
        <v>35</v>
      </c>
      <c r="K94" s="14">
        <v>65</v>
      </c>
      <c r="L94" s="11">
        <v>495.34</v>
      </c>
      <c r="M94" s="13">
        <v>11.8993989196664</v>
      </c>
      <c r="N94" s="11">
        <f t="shared" si="25"/>
        <v>148.74248649583001</v>
      </c>
      <c r="O94" s="1">
        <f t="shared" si="26"/>
        <v>30.028361629553441</v>
      </c>
      <c r="P94" s="20">
        <f t="shared" si="27"/>
        <v>0.30028361629553441</v>
      </c>
      <c r="Q94" s="15">
        <f t="shared" si="28"/>
        <v>0.76200480724393405</v>
      </c>
      <c r="R94" s="15">
        <f t="shared" si="29"/>
        <v>6.1180422888271604</v>
      </c>
      <c r="S94" s="21">
        <v>3.5957231539705613E-2</v>
      </c>
      <c r="T94" s="20">
        <f t="shared" si="30"/>
        <v>4.4862335846800665</v>
      </c>
      <c r="U94" s="20">
        <f t="shared" si="31"/>
        <v>31.74</v>
      </c>
      <c r="V94" s="21">
        <f t="shared" si="32"/>
        <v>0.13921518713804837</v>
      </c>
      <c r="W94" s="21">
        <f t="shared" si="33"/>
        <v>0.14378383368752493</v>
      </c>
      <c r="X94" s="21">
        <f t="shared" si="34"/>
        <v>7.0476173817822993E-2</v>
      </c>
      <c r="Y94" s="21">
        <f t="shared" si="35"/>
        <v>0.28181631402754886</v>
      </c>
    </row>
    <row r="95" spans="1:25" ht="16" customHeight="1" x14ac:dyDescent="0.2">
      <c r="A95" t="s">
        <v>1048</v>
      </c>
      <c r="B95" t="s">
        <v>1224</v>
      </c>
      <c r="C95" t="s">
        <v>1225</v>
      </c>
      <c r="D95" t="s">
        <v>1005</v>
      </c>
      <c r="E95" t="s">
        <v>1051</v>
      </c>
      <c r="F95" s="15">
        <v>7.121657110532623</v>
      </c>
      <c r="G95" s="15">
        <f t="shared" si="36"/>
        <v>5.1474189403203532</v>
      </c>
      <c r="H95" s="9">
        <v>0.66249999999999998</v>
      </c>
      <c r="I95" s="19">
        <v>371500</v>
      </c>
      <c r="J95" s="11" t="s">
        <v>35</v>
      </c>
      <c r="K95" s="14">
        <v>65</v>
      </c>
      <c r="L95" s="11">
        <v>502.02</v>
      </c>
      <c r="M95" s="13">
        <v>11.27530556097688</v>
      </c>
      <c r="N95" s="11">
        <f t="shared" si="25"/>
        <v>140.94131951221101</v>
      </c>
      <c r="O95" s="1">
        <f t="shared" si="26"/>
        <v>28.074841542610056</v>
      </c>
      <c r="P95" s="20">
        <f t="shared" si="27"/>
        <v>0.28074841542610057</v>
      </c>
      <c r="Q95" s="15">
        <f t="shared" si="28"/>
        <v>1.9993939489900558</v>
      </c>
      <c r="R95" s="15">
        <f t="shared" si="29"/>
        <v>5.6991016265841603</v>
      </c>
      <c r="S95" s="21">
        <v>0.12747254606384861</v>
      </c>
      <c r="T95" s="20">
        <f t="shared" si="30"/>
        <v>4.6869472846340789</v>
      </c>
      <c r="U95" s="20">
        <f t="shared" si="31"/>
        <v>31.74</v>
      </c>
      <c r="V95" s="21">
        <f t="shared" si="32"/>
        <v>0.13933985501738388</v>
      </c>
      <c r="W95" s="21">
        <f t="shared" si="33"/>
        <v>0.18885138388761033</v>
      </c>
      <c r="X95" s="21">
        <f t="shared" si="34"/>
        <v>0.24984619028514327</v>
      </c>
      <c r="Y95" s="21">
        <f t="shared" si="35"/>
        <v>0.37014871241971625</v>
      </c>
    </row>
    <row r="96" spans="1:25" ht="16" customHeight="1" x14ac:dyDescent="0.2">
      <c r="A96" t="s">
        <v>1048</v>
      </c>
      <c r="B96" t="s">
        <v>1226</v>
      </c>
      <c r="C96" t="s">
        <v>1227</v>
      </c>
      <c r="D96" t="s">
        <v>1005</v>
      </c>
      <c r="E96" t="s">
        <v>1051</v>
      </c>
      <c r="F96" s="15">
        <v>0.38919146958791351</v>
      </c>
      <c r="G96" s="15">
        <f t="shared" si="36"/>
        <v>6.4098366872924259</v>
      </c>
      <c r="H96" s="9">
        <v>1.0569999999999999</v>
      </c>
      <c r="I96" s="19">
        <v>526000</v>
      </c>
      <c r="J96" s="11" t="s">
        <v>35</v>
      </c>
      <c r="K96" s="14">
        <v>65</v>
      </c>
      <c r="L96" s="11">
        <v>506.62</v>
      </c>
      <c r="M96" s="13">
        <v>19.80144549328347</v>
      </c>
      <c r="N96" s="11">
        <f t="shared" si="25"/>
        <v>247.51806866604338</v>
      </c>
      <c r="O96" s="1">
        <f t="shared" si="26"/>
        <v>48.856750358462634</v>
      </c>
      <c r="P96" s="20">
        <f t="shared" si="27"/>
        <v>0.48856750358462636</v>
      </c>
      <c r="Q96" s="15">
        <f t="shared" si="28"/>
        <v>0.19014630471299893</v>
      </c>
      <c r="R96" s="15">
        <f t="shared" si="29"/>
        <v>6.7209121102121552</v>
      </c>
      <c r="S96" s="21">
        <v>5.437851138087544E-2</v>
      </c>
      <c r="T96" s="20">
        <f t="shared" si="30"/>
        <v>3.0391338422559206</v>
      </c>
      <c r="U96" s="20">
        <f t="shared" si="31"/>
        <v>31.74</v>
      </c>
      <c r="V96" s="21">
        <f t="shared" si="32"/>
        <v>0.1384755249055411</v>
      </c>
      <c r="W96" s="21">
        <f t="shared" si="33"/>
        <v>0.1487699347914932</v>
      </c>
      <c r="X96" s="21">
        <f t="shared" si="34"/>
        <v>0.10658188230651586</v>
      </c>
      <c r="Y96" s="21">
        <f t="shared" si="35"/>
        <v>0.29158907219132668</v>
      </c>
    </row>
    <row r="97" spans="1:25" ht="16" customHeight="1" x14ac:dyDescent="0.2">
      <c r="A97" t="s">
        <v>1048</v>
      </c>
      <c r="B97" t="s">
        <v>1228</v>
      </c>
      <c r="C97" t="s">
        <v>1229</v>
      </c>
      <c r="D97" t="s">
        <v>1005</v>
      </c>
      <c r="E97" t="s">
        <v>1051</v>
      </c>
      <c r="F97" s="15">
        <v>10.412204377556179</v>
      </c>
      <c r="G97" s="15">
        <f t="shared" si="36"/>
        <v>4.9824573158630567</v>
      </c>
      <c r="H97" s="9">
        <v>0.65700000000000003</v>
      </c>
      <c r="I97" s="19">
        <v>367000</v>
      </c>
      <c r="J97" s="11" t="s">
        <v>35</v>
      </c>
      <c r="K97" s="14">
        <v>65</v>
      </c>
      <c r="L97" s="11">
        <v>496.1</v>
      </c>
      <c r="M97" s="13">
        <v>5.4825108805951208</v>
      </c>
      <c r="N97" s="11">
        <f t="shared" si="25"/>
        <v>68.531386007439011</v>
      </c>
      <c r="O97" s="1">
        <f t="shared" si="26"/>
        <v>13.814026609038299</v>
      </c>
      <c r="P97" s="20">
        <f t="shared" si="27"/>
        <v>0.13814026609038299</v>
      </c>
      <c r="Q97" s="15">
        <f t="shared" si="28"/>
        <v>1.4383446833030611</v>
      </c>
      <c r="R97" s="15">
        <f t="shared" si="29"/>
        <v>5.8421370276396223</v>
      </c>
      <c r="S97" s="21">
        <v>5.5898143976343261E-2</v>
      </c>
      <c r="T97" s="20">
        <f t="shared" si="30"/>
        <v>8.7304814162295123</v>
      </c>
      <c r="U97" s="20">
        <f t="shared" si="31"/>
        <v>31.74</v>
      </c>
      <c r="V97" s="21">
        <f t="shared" si="32"/>
        <v>0.14296463166811843</v>
      </c>
      <c r="W97" s="21">
        <f t="shared" si="33"/>
        <v>0.15350403384927958</v>
      </c>
      <c r="X97" s="21">
        <f t="shared" si="34"/>
        <v>0.10956036219363278</v>
      </c>
      <c r="Y97" s="21">
        <f t="shared" si="35"/>
        <v>0.30086790634458799</v>
      </c>
    </row>
  </sheetData>
  <conditionalFormatting sqref="O2:O97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Crude-SP to Pure Correlation</vt:lpstr>
      <vt:lpstr>HTChem Libraries</vt:lpstr>
      <vt:lpstr>96-Compound µScale Semi-Pure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Calvin Hawe</cp:lastModifiedBy>
  <dcterms:created xsi:type="dcterms:W3CDTF">2026-02-11T22:46:06Z</dcterms:created>
  <dcterms:modified xsi:type="dcterms:W3CDTF">2026-05-27T02:42:58Z</dcterms:modified>
</cp:coreProperties>
</file>